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C:\Users\nidhi.ARORNI\Desktop\Data Analyst\Financial_KPI_dashboard_project\"/>
    </mc:Choice>
  </mc:AlternateContent>
  <xr:revisionPtr revIDLastSave="0" documentId="13_ncr:1_{095CE820-E9F4-4A68-AE97-5FEC4359BF02}" xr6:coauthVersionLast="47" xr6:coauthVersionMax="47" xr10:uidLastSave="{00000000-0000-0000-0000-000000000000}"/>
  <bookViews>
    <workbookView xWindow="28680" yWindow="-120" windowWidth="29040" windowHeight="15720" tabRatio="829"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0" hidden="1">CurrentYearData!$A$1:$O$9</definedName>
    <definedName name="_xlnm._FilterDatabase" localSheetId="3" hidden="1">Debtors!$A$1:$G$98</definedName>
    <definedName name="_xlnm._FilterDatabase" localSheetId="4" hidden="1">'HR &amp; Campaign'!$A$1:$N$17</definedName>
    <definedName name="_xlnm._FilterDatabase" localSheetId="1" hidden="1">PreviousYearData!$A$1:$V$49</definedName>
    <definedName name="_xlnm._FilterDatabase" localSheetId="5" hidden="1">Satisfaction!$A$1:$F$49</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2" i="9" l="1"/>
  <c r="I101" i="9"/>
  <c r="I100" i="9"/>
  <c r="A86" i="9"/>
  <c r="D86" i="9" s="1"/>
  <c r="A87" i="9"/>
  <c r="D87" i="9" s="1"/>
  <c r="A88" i="9"/>
  <c r="D88" i="9" s="1"/>
  <c r="A89" i="9"/>
  <c r="D89" i="9" s="1"/>
  <c r="A90" i="9"/>
  <c r="D90" i="9" s="1"/>
  <c r="A91" i="9"/>
  <c r="D91" i="9" s="1"/>
  <c r="A92" i="9"/>
  <c r="D92" i="9" s="1"/>
  <c r="A93" i="9"/>
  <c r="D93" i="9" s="1"/>
  <c r="A94" i="9"/>
  <c r="D94" i="9" s="1"/>
  <c r="A95" i="9"/>
  <c r="D95" i="9" s="1"/>
  <c r="A96" i="9"/>
  <c r="D96" i="9" s="1"/>
  <c r="A97" i="9"/>
  <c r="E97" i="9" s="1"/>
  <c r="A98" i="9"/>
  <c r="E98" i="9" s="1"/>
  <c r="A99" i="9"/>
  <c r="E99" i="9" s="1"/>
  <c r="A100" i="9"/>
  <c r="E100" i="9" s="1"/>
  <c r="A101" i="9"/>
  <c r="E101" i="9" s="1"/>
  <c r="A102" i="9"/>
  <c r="E102" i="9" s="1"/>
  <c r="A103" i="9"/>
  <c r="E103" i="9" s="1"/>
  <c r="A104" i="9"/>
  <c r="E104" i="9" s="1"/>
  <c r="A105" i="9"/>
  <c r="E105" i="9" s="1"/>
  <c r="A106" i="9"/>
  <c r="E106" i="9" s="1"/>
  <c r="A107" i="9"/>
  <c r="E107" i="9" s="1"/>
  <c r="A108" i="9"/>
  <c r="E108" i="9" s="1"/>
  <c r="A109" i="9"/>
  <c r="F109" i="9" s="1"/>
  <c r="A110" i="9"/>
  <c r="F110" i="9" s="1"/>
  <c r="A111" i="9"/>
  <c r="F111" i="9" s="1"/>
  <c r="A112" i="9"/>
  <c r="F112" i="9" s="1"/>
  <c r="A113" i="9"/>
  <c r="F113" i="9" s="1"/>
  <c r="A114" i="9"/>
  <c r="F114" i="9" s="1"/>
  <c r="A115" i="9"/>
  <c r="F115" i="9" s="1"/>
  <c r="A116" i="9"/>
  <c r="F116" i="9" s="1"/>
  <c r="A117" i="9"/>
  <c r="F117" i="9" s="1"/>
  <c r="A118" i="9"/>
  <c r="F118" i="9" s="1"/>
  <c r="A119" i="9"/>
  <c r="F119" i="9" s="1"/>
  <c r="A120" i="9"/>
  <c r="F120" i="9" s="1"/>
  <c r="A121" i="9"/>
  <c r="G121" i="9" s="1"/>
  <c r="A122" i="9"/>
  <c r="G122" i="9" s="1"/>
  <c r="A123" i="9"/>
  <c r="G123" i="9" s="1"/>
  <c r="A124" i="9"/>
  <c r="G124" i="9" s="1"/>
  <c r="A125" i="9"/>
  <c r="G125" i="9" s="1"/>
  <c r="A126" i="9"/>
  <c r="G126" i="9" s="1"/>
  <c r="A127" i="9"/>
  <c r="G127" i="9" s="1"/>
  <c r="A128" i="9"/>
  <c r="G128" i="9" s="1"/>
  <c r="A129" i="9"/>
  <c r="G129" i="9" s="1"/>
  <c r="A130" i="9"/>
  <c r="G130" i="9" s="1"/>
  <c r="A131" i="9"/>
  <c r="G131" i="9" s="1"/>
  <c r="A132" i="9"/>
  <c r="G132" i="9" s="1"/>
  <c r="A85" i="9"/>
  <c r="D85" i="9" s="1"/>
  <c r="B78" i="9"/>
  <c r="D78" i="9" s="1"/>
  <c r="B77" i="9"/>
  <c r="C77" i="9" s="1"/>
  <c r="B76" i="9"/>
  <c r="D76" i="9" s="1"/>
  <c r="B75" i="9"/>
  <c r="C75" i="9" s="1"/>
  <c r="B74" i="9"/>
  <c r="C74" i="9" s="1"/>
  <c r="B73" i="9"/>
  <c r="E73" i="9" s="1"/>
  <c r="B68" i="9"/>
  <c r="C68" i="9" s="1"/>
  <c r="C60" i="9"/>
  <c r="D60" i="9"/>
  <c r="E60" i="9"/>
  <c r="C61" i="9"/>
  <c r="D61" i="9"/>
  <c r="E61" i="9"/>
  <c r="C62" i="9"/>
  <c r="D62" i="9"/>
  <c r="E62" i="9"/>
  <c r="C63" i="9"/>
  <c r="D63" i="9"/>
  <c r="E63" i="9"/>
  <c r="C64" i="9"/>
  <c r="D64" i="9"/>
  <c r="E64" i="9"/>
  <c r="C65" i="9"/>
  <c r="D65" i="9"/>
  <c r="E65" i="9"/>
  <c r="C66" i="9"/>
  <c r="D66" i="9"/>
  <c r="E66" i="9"/>
  <c r="D59" i="9"/>
  <c r="E59" i="9"/>
  <c r="C59" i="9"/>
  <c r="B54" i="9"/>
  <c r="B53" i="9"/>
  <c r="B52" i="9"/>
  <c r="B51" i="9"/>
  <c r="B50" i="9"/>
  <c r="B49" i="9"/>
  <c r="B48" i="9"/>
  <c r="B47" i="9"/>
  <c r="C49" i="9" s="1" a="1"/>
  <c r="C49" i="9" s="1"/>
  <c r="B42" i="9"/>
  <c r="D42" i="9" s="1"/>
  <c r="B28" i="9"/>
  <c r="B26" i="9"/>
  <c r="H26" i="9" s="1"/>
  <c r="B25" i="9"/>
  <c r="D25" i="9" s="1"/>
  <c r="B24" i="9"/>
  <c r="F24" i="9" s="1"/>
  <c r="B23" i="9"/>
  <c r="H23" i="9" s="1"/>
  <c r="B22" i="9"/>
  <c r="D22" i="9" s="1"/>
  <c r="B17" i="9"/>
  <c r="K17" i="9" s="1"/>
  <c r="B16" i="9"/>
  <c r="L16" i="9" s="1"/>
  <c r="B11" i="9"/>
  <c r="B10" i="9"/>
  <c r="B4" i="9"/>
  <c r="H4" i="9" s="1"/>
  <c r="B5" i="9"/>
  <c r="H5" i="9" s="1"/>
  <c r="B6" i="9"/>
  <c r="H6" i="9" s="1"/>
  <c r="B7" i="9"/>
  <c r="B8" i="9"/>
  <c r="B3" i="9"/>
  <c r="I3" i="9" s="1"/>
  <c r="R13" i="5" a="1"/>
  <c r="R13" i="5" s="1"/>
  <c r="C47" i="9" l="1" a="1"/>
  <c r="C47" i="9" s="1"/>
  <c r="E47" i="9" s="1"/>
  <c r="C48" i="9" a="1"/>
  <c r="C48" i="9" s="1"/>
  <c r="D26" i="9"/>
  <c r="E42" i="9"/>
  <c r="J22" i="9"/>
  <c r="D6" i="10" s="1"/>
  <c r="C42" i="9"/>
  <c r="D73" i="9"/>
  <c r="C22" i="9"/>
  <c r="L3" i="9"/>
  <c r="G26" i="9"/>
  <c r="F42" i="9"/>
  <c r="F77" i="9"/>
  <c r="C78" i="9"/>
  <c r="I22" i="9"/>
  <c r="C6" i="10" s="1"/>
  <c r="D24" i="9"/>
  <c r="I7" i="9"/>
  <c r="H22" i="9"/>
  <c r="F78" i="9"/>
  <c r="E78" i="9"/>
  <c r="O3" i="9"/>
  <c r="G22" i="9"/>
  <c r="N3" i="9"/>
  <c r="F22" i="9"/>
  <c r="L7" i="9"/>
  <c r="M3" i="9"/>
  <c r="I26" i="9"/>
  <c r="C10" i="10" s="1"/>
  <c r="C26" i="9"/>
  <c r="F23" i="9"/>
  <c r="I16" i="9"/>
  <c r="J25" i="9"/>
  <c r="D9" i="10" s="1"/>
  <c r="H16" i="9"/>
  <c r="J17" i="9"/>
  <c r="C76" i="9"/>
  <c r="G25" i="9"/>
  <c r="C24" i="9"/>
  <c r="G23" i="9"/>
  <c r="E23" i="9"/>
  <c r="I25" i="9"/>
  <c r="C9" i="10" s="1"/>
  <c r="D23" i="9"/>
  <c r="E3" i="9"/>
  <c r="H25" i="9"/>
  <c r="C23" i="9"/>
  <c r="O8" i="9"/>
  <c r="I17" i="9"/>
  <c r="F75" i="9"/>
  <c r="H17" i="9"/>
  <c r="C25" i="9"/>
  <c r="D52" i="9" a="1"/>
  <c r="D52" i="9" s="1"/>
  <c r="E75" i="9"/>
  <c r="F7" i="9"/>
  <c r="G17" i="9"/>
  <c r="J24" i="9"/>
  <c r="D8" i="10" s="1"/>
  <c r="C51" i="9" a="1"/>
  <c r="C51" i="9" s="1"/>
  <c r="C73" i="9"/>
  <c r="D75" i="9"/>
  <c r="F17" i="9"/>
  <c r="I24" i="9"/>
  <c r="C8" i="10" s="1"/>
  <c r="F73" i="9"/>
  <c r="K8" i="9"/>
  <c r="J26" i="9"/>
  <c r="D10" i="10" s="1"/>
  <c r="E10" i="10" s="1"/>
  <c r="E24" i="9"/>
  <c r="D48" i="9" a="1"/>
  <c r="D48" i="9" s="1"/>
  <c r="F76" i="9"/>
  <c r="G3" i="9"/>
  <c r="G4" i="9"/>
  <c r="K16" i="9"/>
  <c r="F26" i="9"/>
  <c r="G24" i="9"/>
  <c r="C52" i="9" a="1"/>
  <c r="C52" i="9" s="1"/>
  <c r="E76" i="9"/>
  <c r="J3" i="9"/>
  <c r="H3" i="9"/>
  <c r="D8" i="9"/>
  <c r="G5" i="9"/>
  <c r="D3" i="9"/>
  <c r="H24" i="9"/>
  <c r="F3" i="9"/>
  <c r="F4" i="9"/>
  <c r="J16" i="9"/>
  <c r="E26" i="9"/>
  <c r="D51" i="9" a="1"/>
  <c r="D51" i="9" s="1"/>
  <c r="G6" i="9"/>
  <c r="F5" i="9"/>
  <c r="E5" i="9"/>
  <c r="E4" i="9"/>
  <c r="D6" i="9"/>
  <c r="D5" i="9"/>
  <c r="O6" i="9"/>
  <c r="N6" i="9"/>
  <c r="N4" i="9"/>
  <c r="F16" i="9"/>
  <c r="E17" i="9"/>
  <c r="M6" i="9"/>
  <c r="M5" i="9"/>
  <c r="M4" i="9"/>
  <c r="E16" i="9"/>
  <c r="D17" i="9"/>
  <c r="D50" i="9" a="1"/>
  <c r="D50" i="9" s="1"/>
  <c r="L6" i="9"/>
  <c r="D16" i="9"/>
  <c r="D54" i="9" a="1"/>
  <c r="D54" i="9" s="1"/>
  <c r="F74" i="9"/>
  <c r="F6" i="9"/>
  <c r="O5" i="9"/>
  <c r="G16" i="9"/>
  <c r="N5" i="9"/>
  <c r="L5" i="9"/>
  <c r="L4" i="9"/>
  <c r="O17" i="9"/>
  <c r="E22" i="9"/>
  <c r="D47" i="9" a="1"/>
  <c r="D47" i="9" s="1"/>
  <c r="K6" i="9"/>
  <c r="K5" i="9"/>
  <c r="K4" i="9"/>
  <c r="O16" i="9"/>
  <c r="N17" i="9"/>
  <c r="K3" i="9"/>
  <c r="J8" i="9"/>
  <c r="J6" i="9"/>
  <c r="J5" i="9"/>
  <c r="J4" i="9"/>
  <c r="N16" i="9"/>
  <c r="M17" i="9"/>
  <c r="F25" i="9"/>
  <c r="J23" i="9"/>
  <c r="D7" i="10" s="1"/>
  <c r="C54" i="9" a="1"/>
  <c r="C54" i="9" s="1"/>
  <c r="D49" i="9" a="1"/>
  <c r="D49" i="9" s="1"/>
  <c r="E77" i="9"/>
  <c r="E74" i="9"/>
  <c r="E6" i="9"/>
  <c r="D4" i="9"/>
  <c r="O4" i="9"/>
  <c r="C50" i="9" a="1"/>
  <c r="C50" i="9" s="1"/>
  <c r="I6" i="9"/>
  <c r="I5" i="9"/>
  <c r="I4" i="9"/>
  <c r="M16" i="9"/>
  <c r="L17" i="9"/>
  <c r="E25" i="9"/>
  <c r="I23" i="9"/>
  <c r="C7" i="10" s="1"/>
  <c r="D53" i="9" a="1"/>
  <c r="D53" i="9" s="1"/>
  <c r="D77" i="9"/>
  <c r="D74" i="9"/>
  <c r="C53" i="9" a="1"/>
  <c r="C53" i="9" s="1"/>
  <c r="A10" i="9"/>
  <c r="I10" i="9" s="1"/>
  <c r="A11" i="9"/>
  <c r="H11" i="9" s="1"/>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N8" i="9" s="1"/>
  <c r="M49" i="5"/>
  <c r="M8" i="9" s="1"/>
  <c r="L49" i="5"/>
  <c r="L8" i="9" s="1"/>
  <c r="K49" i="5"/>
  <c r="J49" i="5"/>
  <c r="I49" i="5"/>
  <c r="I8" i="9" s="1"/>
  <c r="H49" i="5"/>
  <c r="H8" i="9" s="1"/>
  <c r="G49" i="5"/>
  <c r="G8" i="9" s="1"/>
  <c r="F49" i="5"/>
  <c r="F8" i="9" s="1"/>
  <c r="E49" i="5"/>
  <c r="E8" i="9" s="1"/>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O7" i="9" s="1"/>
  <c r="N40" i="5"/>
  <c r="N7" i="9" s="1"/>
  <c r="M40" i="5"/>
  <c r="M7" i="9" s="1"/>
  <c r="L40" i="5"/>
  <c r="K40" i="5"/>
  <c r="J40" i="5"/>
  <c r="I40" i="5"/>
  <c r="H40" i="5"/>
  <c r="G40" i="5"/>
  <c r="F40" i="5"/>
  <c r="E40" i="5"/>
  <c r="D40" i="5"/>
  <c r="D7" i="9" s="1"/>
  <c r="O39" i="5"/>
  <c r="N39" i="5"/>
  <c r="M39" i="5"/>
  <c r="L39" i="5"/>
  <c r="K39" i="5"/>
  <c r="J39" i="5"/>
  <c r="I39" i="5"/>
  <c r="H39" i="5"/>
  <c r="G39" i="5"/>
  <c r="F39" i="5"/>
  <c r="E39" i="5"/>
  <c r="D39" i="5"/>
  <c r="O38" i="5"/>
  <c r="N38" i="5"/>
  <c r="M38" i="5"/>
  <c r="L38" i="5"/>
  <c r="K38" i="5"/>
  <c r="J38" i="5"/>
  <c r="I38" i="5"/>
  <c r="H38" i="5"/>
  <c r="G38" i="5"/>
  <c r="F38" i="5"/>
  <c r="E38" i="5"/>
  <c r="D38" i="5"/>
  <c r="E9" i="10" l="1"/>
  <c r="E6" i="10"/>
  <c r="E8" i="10"/>
  <c r="E7" i="10"/>
  <c r="E7" i="9"/>
  <c r="K7" i="9"/>
  <c r="G7" i="9"/>
  <c r="H7" i="9"/>
  <c r="J7" i="9"/>
  <c r="H10" i="9"/>
  <c r="G10" i="9"/>
  <c r="K10" i="9"/>
  <c r="N11" i="9"/>
  <c r="D11" i="9"/>
  <c r="J11" i="9"/>
  <c r="I11" i="9"/>
  <c r="L11" i="9"/>
  <c r="M10" i="9"/>
  <c r="O10" i="9"/>
  <c r="E11" i="9"/>
  <c r="F11" i="9"/>
  <c r="N10" i="9"/>
  <c r="J10" i="9"/>
  <c r="G11" i="9"/>
  <c r="F10" i="9"/>
  <c r="K11" i="9"/>
  <c r="L10" i="9"/>
  <c r="O11" i="9"/>
  <c r="M11" i="9"/>
  <c r="E10" i="9"/>
  <c r="D10" i="9"/>
  <c r="D12" i="10"/>
  <c r="C12" i="10"/>
  <c r="E21" i="9"/>
  <c r="D68" i="9"/>
  <c r="E12" i="10" l="1"/>
  <c r="J28" i="9"/>
  <c r="I28" i="9"/>
  <c r="E28" i="9"/>
  <c r="F21" i="9"/>
  <c r="H28" i="9"/>
  <c r="F28" i="9"/>
  <c r="C28" i="9"/>
  <c r="G28" i="9"/>
  <c r="D28" i="9"/>
  <c r="G21" i="9" l="1"/>
  <c r="H21" i="9" l="1"/>
  <c r="I21" i="9" l="1"/>
  <c r="E51" i="9"/>
  <c r="E49" i="9"/>
  <c r="E50" i="9"/>
  <c r="E53" i="9"/>
  <c r="E48" i="9"/>
  <c r="E52" i="9"/>
  <c r="J21" i="9" l="1"/>
  <c r="E5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<sst xmlns="http://schemas.openxmlformats.org/spreadsheetml/2006/main" count="879" uniqueCount="98">
  <si>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</si>
  <si>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</si>
  <si>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</si>
  <si>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</si>
  <si>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</si>
  <si>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</si>
  <si>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</si>
  <si>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</si>
  <si>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</si>
  <si>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</si>
  <si>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</si>
  <si>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</si>
  <si>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</si>
  <si>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</si>
  <si>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</si>
  <si>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</si>
  <si>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</si>
  <si>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</si>
  <si>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</si>
  <si>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</si>
  <si>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</si>
  <si>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</si>
  <si>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</si>
  <si>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</si>
  <si>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</si>
  <si>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</si>
  <si>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</si>
  <si>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</si>
  <si>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</si>
  <si>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</si>
  <si>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</si>
  <si>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</si>
  <si>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</si>
  <si>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</si>
  <si>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</si>
  <si>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</si>
  <si>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</si>
  <si>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</si>
  <si>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</si>
  <si>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</si>
  <si>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</si>
  <si>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</si>
  <si>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</si>
  <si>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</si>
  <si>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</si>
  <si>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</si>
  <si>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</si>
  <si>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</si>
  <si>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</si>
  <si>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</si>
  <si>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</si>
  <si>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</si>
  <si>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</si>
  <si>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</si>
  <si>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</si>
  <si>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</si>
  <si>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</si>
  <si>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</si>
  <si>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</si>
  <si>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</si>
  <si>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</si>
  <si>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</si>
  <si>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</si>
  <si>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</si>
  <si>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</si>
  <si>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</si>
  <si>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</si>
  <si>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</si>
  <si>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</si>
  <si>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</si>
  <si>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</si>
  <si>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</si>
  <si>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</si>
  <si>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</si>
  <si>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</si>
  <si>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</si>
  <si>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</si>
  <si>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</si>
  <si>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</si>
  <si>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</si>
  <si>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</si>
  <si>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</si>
  <si>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</si>
  <si>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</si>
  <si>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</si>
  <si>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</si>
  <si>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</si>
  <si>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</si>
  <si>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</si>
  <si>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</si>
  <si>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</si>
  <si>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Score</t>
  </si>
  <si>
    <t>Customer Debtors Schedule 0 - 90 Days +</t>
  </si>
  <si>
    <t>Row Labels</t>
  </si>
  <si>
    <t>Months</t>
  </si>
  <si>
    <t>Vertical Grid</t>
  </si>
  <si>
    <t>Scale</t>
  </si>
  <si>
    <t>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</si>
</sst>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0">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9"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165"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12" fillId="0" borderId="0" xfId="0" applyFont="1"/>
    <xf numFmtId="0" fontId="12" fillId="0" borderId="0" xfId="0" applyFont="1" applyAlignment="1">
      <alignment vertical="center"/>
    </xf>
    <xf numFmtId="170" fontId="13" fillId="0" borderId="0" xfId="3" applyNumberFormat="1" applyFont="1"/>
    <xf numFmtId="165" fontId="0" fillId="0" borderId="0" xfId="1" applyNumberFormat="1" applyFont="1"/>
    <xf numFmtId="9" fontId="8" fillId="0" borderId="0" xfId="2" applyFont="1"/>
    <xf numFmtId="0" fontId="0" fillId="0" borderId="0" xfId="0" pivotButton="1"/>
    <xf numFmtId="0" fontId="0" fillId="0" borderId="0" xfId="0" applyAlignment="1">
      <alignment horizontal="left"/>
    </xf>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colors>
    <mruColors>
      <color rgb="FFBEB502"/>
    </mruColors>
  </color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12292213473316"/>
          <c:y val="0.13425925925925927"/>
          <c:w val="0.84732152230971125"/>
          <c:h val="0.73577136191309422"/>
        </c:manualLayout>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a:sp3d>
          </c:spPr>
          <c:invertIfNegative val="0"/>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1085.7265920000002</c:v>
                </c:pt>
                <c:pt idx="1">
                  <c:v>1343.5086600000002</c:v>
                </c:pt>
                <c:pt idx="2">
                  <c:v>1126.4679720000001</c:v>
                </c:pt>
                <c:pt idx="3">
                  <c:v>1432.55592</c:v>
                </c:pt>
                <c:pt idx="4">
                  <c:v>1478.7045000000001</c:v>
                </c:pt>
                <c:pt idx="5">
                  <c:v>1609.2399599999999</c:v>
                </c:pt>
                <c:pt idx="6">
                  <c:v>2073.4362000000001</c:v>
                </c:pt>
                <c:pt idx="7">
                  <c:v>2183.9328000000005</c:v>
                </c:pt>
              </c:numCache>
            </c:numRef>
          </c:val>
          <c:extLst>
            <c:ext xmlns:c16="http://schemas.microsoft.com/office/drawing/2014/chart" uri="{C3380CC4-5D6E-409C-BE32-E72D297353CC}">
              <c16:uniqueId val="{00000000-967B-4AC3-BA69-8BB6608E94CA}"/>
            </c:ext>
          </c:extLst>
        </c:ser>
        <c:dLbls>
          <c:showLegendKey val="0"/>
          <c:showVal val="0"/>
          <c:showCatName val="0"/>
          <c:showSerName val="0"/>
          <c:showPercent val="0"/>
          <c:showBubbleSize val="0"/>
        </c:dLbls>
        <c:gapWidth val="15"/>
        <c:overlap val="-27"/>
        <c:axId val="2014049168"/>
        <c:axId val="2014054448"/>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1095.726592</c:v>
                </c:pt>
                <c:pt idx="1">
                  <c:v>1437.5542662000003</c:v>
                </c:pt>
                <c:pt idx="2">
                  <c:v>1092.6739328400001</c:v>
                </c:pt>
                <c:pt idx="3">
                  <c:v>1332.2770055999999</c:v>
                </c:pt>
                <c:pt idx="4">
                  <c:v>1523.0656349999999</c:v>
                </c:pt>
                <c:pt idx="5">
                  <c:v>1577.0551608000001</c:v>
                </c:pt>
                <c:pt idx="6">
                  <c:v>2135.6392859999996</c:v>
                </c:pt>
                <c:pt idx="7">
                  <c:v>2118.414816</c:v>
                </c:pt>
              </c:numCache>
            </c:numRef>
          </c:val>
          <c:extLst>
            <c:ext xmlns:c16="http://schemas.microsoft.com/office/drawing/2014/chart" uri="{C3380CC4-5D6E-409C-BE32-E72D297353CC}">
              <c16:uniqueId val="{00000001-967B-4AC3-BA69-8BB6608E94CA}"/>
            </c:ext>
          </c:extLst>
        </c:ser>
        <c:dLbls>
          <c:showLegendKey val="0"/>
          <c:showVal val="0"/>
          <c:showCatName val="0"/>
          <c:showSerName val="0"/>
          <c:showPercent val="0"/>
          <c:showBubbleSize val="0"/>
        </c:dLbls>
        <c:gapWidth val="60"/>
        <c:overlap val="-27"/>
        <c:axId val="867147439"/>
        <c:axId val="867146479"/>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2171.4531840000004</c:v>
                </c:pt>
                <c:pt idx="1">
                  <c:v>2687.0173200000004</c:v>
                </c:pt>
                <c:pt idx="2">
                  <c:v>2252.9359440000003</c:v>
                </c:pt>
                <c:pt idx="3">
                  <c:v>2865.11184</c:v>
                </c:pt>
                <c:pt idx="4">
                  <c:v>2957.4090000000001</c:v>
                </c:pt>
                <c:pt idx="5">
                  <c:v>3218.4799199999998</c:v>
                </c:pt>
                <c:pt idx="6">
                  <c:v>4146.8724000000002</c:v>
                </c:pt>
                <c:pt idx="7">
                  <c:v>4367.865600000001</c:v>
                </c:pt>
              </c:numCache>
            </c:numRef>
          </c:val>
          <c:smooth val="1"/>
          <c:extLst>
            <c:ext xmlns:c16="http://schemas.microsoft.com/office/drawing/2014/chart" uri="{C3380CC4-5D6E-409C-BE32-E72D297353CC}">
              <c16:uniqueId val="{00000002-967B-4AC3-BA69-8BB6608E94CA}"/>
            </c:ext>
          </c:extLst>
        </c:ser>
        <c:dLbls>
          <c:showLegendKey val="0"/>
          <c:showVal val="0"/>
          <c:showCatName val="0"/>
          <c:showSerName val="0"/>
          <c:showPercent val="0"/>
          <c:showBubbleSize val="0"/>
        </c:dLbls>
        <c:marker val="1"/>
        <c:smooth val="0"/>
        <c:axId val="2014049168"/>
        <c:axId val="2014054448"/>
      </c:lineChart>
      <c:catAx>
        <c:axId val="20140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54448"/>
        <c:crosses val="autoZero"/>
        <c:auto val="1"/>
        <c:lblAlgn val="ctr"/>
        <c:lblOffset val="100"/>
        <c:noMultiLvlLbl val="0"/>
      </c:catAx>
      <c:valAx>
        <c:axId val="2014054448"/>
        <c:scaling>
          <c:orientation val="minMax"/>
        </c:scaling>
        <c:delete val="1"/>
        <c:axPos val="l"/>
        <c:numFmt formatCode="_-* #,##0_-;\-* #,##0_-;_-* &quot;-&quot;??_-;_-@_-" sourceLinked="1"/>
        <c:majorTickMark val="none"/>
        <c:minorTickMark val="none"/>
        <c:tickLblPos val="nextTo"/>
        <c:crossAx val="2014049168"/>
        <c:crosses val="autoZero"/>
        <c:crossBetween val="between"/>
      </c:valAx>
      <c:valAx>
        <c:axId val="867146479"/>
        <c:scaling>
          <c:orientation val="minMax"/>
        </c:scaling>
        <c:delete val="1"/>
        <c:axPos val="r"/>
        <c:numFmt formatCode="_-* #,##0_-;\-* #,##0_-;_-* &quot;-&quot;??_-;_-@_-" sourceLinked="1"/>
        <c:majorTickMark val="out"/>
        <c:minorTickMark val="none"/>
        <c:tickLblPos val="nextTo"/>
        <c:crossAx val="867147439"/>
        <c:crosses val="max"/>
        <c:crossBetween val="between"/>
      </c:valAx>
      <c:catAx>
        <c:axId val="867147439"/>
        <c:scaling>
          <c:orientation val="minMax"/>
        </c:scaling>
        <c:delete val="1"/>
        <c:axPos val="b"/>
        <c:numFmt formatCode="General" sourceLinked="1"/>
        <c:majorTickMark val="out"/>
        <c:minorTickMark val="none"/>
        <c:tickLblPos val="nextTo"/>
        <c:crossAx val="867146479"/>
        <c:crosses val="autoZero"/>
        <c:auto val="1"/>
        <c:lblAlgn val="ctr"/>
        <c:lblOffset val="100"/>
        <c:noMultiLvlLbl val="0"/>
      </c:catAx>
      <c:spPr>
        <a:noFill/>
        <a:ln>
          <a:noFill/>
        </a:ln>
        <a:effectLst/>
      </c:spPr>
    </c:plotArea>
    <c:legend>
      <c:legendPos val="b"/>
      <c:layout>
        <c:manualLayout>
          <c:xMode val="edge"/>
          <c:yMode val="edge"/>
          <c:x val="0.33831408573928257"/>
          <c:y val="2.372630504520264E-2"/>
          <c:w val="0.66168598425196845"/>
          <c:h val="0.12347652140446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0015089435336"/>
          <c:y val="4.1107027583797258E-2"/>
          <c:w val="0.84451573703772154"/>
          <c:h val="0.8416746864975212"/>
        </c:manualLayout>
      </c:layout>
      <c:lineChart>
        <c:grouping val="standard"/>
        <c:varyColors val="0"/>
        <c:ser>
          <c:idx val="0"/>
          <c:order val="0"/>
          <c:tx>
            <c:strRef>
              <c:f>Calculations!$B$28</c:f>
              <c:strCache>
                <c:ptCount val="1"/>
                <c:pt idx="0">
                  <c:v>WA</c:v>
                </c:pt>
              </c:strCache>
            </c:strRef>
          </c:tx>
          <c:spPr>
            <a:ln w="28575" cap="rnd">
              <a:solidFill>
                <a:schemeClr val="accent6">
                  <a:lumMod val="50000"/>
                </a:schemeClr>
              </a:solidFill>
              <a:round/>
            </a:ln>
            <a:effectLst/>
          </c:spPr>
          <c:marker>
            <c:symbol val="circle"/>
            <c:size val="10"/>
            <c:spPr>
              <a:solidFill>
                <a:schemeClr val="bg1"/>
              </a:solidFill>
              <a:ln w="15875">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1005302.4000000001</c:v>
                </c:pt>
                <c:pt idx="1">
                  <c:v>1267461</c:v>
                </c:pt>
                <c:pt idx="2">
                  <c:v>988129.8</c:v>
                </c:pt>
                <c:pt idx="3">
                  <c:v>1256628</c:v>
                </c:pt>
                <c:pt idx="4">
                  <c:v>1408290</c:v>
                </c:pt>
                <c:pt idx="5">
                  <c:v>1411614</c:v>
                </c:pt>
                <c:pt idx="6">
                  <c:v>1884941.9999999998</c:v>
                </c:pt>
                <c:pt idx="7">
                  <c:v>1949940</c:v>
                </c:pt>
              </c:numCache>
            </c:numRef>
          </c:val>
          <c:smooth val="0"/>
          <c:extLst>
            <c:ext xmlns:c16="http://schemas.microsoft.com/office/drawing/2014/chart" uri="{C3380CC4-5D6E-409C-BE32-E72D297353CC}">
              <c16:uniqueId val="{00000000-D5A5-4FFF-9353-40A0A918B66A}"/>
            </c:ext>
          </c:extLst>
        </c:ser>
        <c:dLbls>
          <c:showLegendKey val="0"/>
          <c:showVal val="0"/>
          <c:showCatName val="0"/>
          <c:showSerName val="0"/>
          <c:showPercent val="0"/>
          <c:showBubbleSize val="0"/>
        </c:dLbls>
        <c:marker val="1"/>
        <c:smooth val="0"/>
        <c:axId val="1225602576"/>
        <c:axId val="1225597296"/>
      </c:lineChart>
      <c:catAx>
        <c:axId val="122560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7296"/>
        <c:crosses val="autoZero"/>
        <c:auto val="1"/>
        <c:lblAlgn val="ctr"/>
        <c:lblOffset val="100"/>
        <c:noMultiLvlLbl val="0"/>
      </c:catAx>
      <c:valAx>
        <c:axId val="1225597296"/>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60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21757148777456"/>
          <c:y val="0.11221503758817192"/>
          <c:w val="0.80646663903854121"/>
          <c:h val="0.76015250642116317"/>
        </c:manualLayout>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2238-44AA-97B6-EE44A93B0526}"/>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2238-44AA-97B6-EE44A93B0526}"/>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2238-44AA-97B6-EE44A93B0526}"/>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2238-44AA-97B6-EE44A93B0526}"/>
            </c:ext>
          </c:extLst>
        </c:ser>
        <c:dLbls>
          <c:showLegendKey val="0"/>
          <c:showVal val="0"/>
          <c:showCatName val="0"/>
          <c:showSerName val="0"/>
          <c:showPercent val="0"/>
          <c:showBubbleSize val="0"/>
        </c:dLbls>
        <c:gapWidth val="100"/>
        <c:overlap val="100"/>
        <c:axId val="169486831"/>
        <c:axId val="169492591"/>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0.72</c:v>
                </c:pt>
                <c:pt idx="1">
                  <c:v>0.75</c:v>
                </c:pt>
                <c:pt idx="2">
                  <c:v>0.77</c:v>
                </c:pt>
                <c:pt idx="3">
                  <c:v>0.8</c:v>
                </c:pt>
              </c:numCache>
            </c:numRef>
          </c:val>
          <c:extLst>
            <c:ext xmlns:c16="http://schemas.microsoft.com/office/drawing/2014/chart" uri="{C3380CC4-5D6E-409C-BE32-E72D297353CC}">
              <c16:uniqueId val="{00000004-2238-44AA-97B6-EE44A93B0526}"/>
            </c:ext>
          </c:extLst>
        </c:ser>
        <c:dLbls>
          <c:showLegendKey val="0"/>
          <c:showVal val="0"/>
          <c:showCatName val="0"/>
          <c:showSerName val="0"/>
          <c:showPercent val="0"/>
          <c:showBubbleSize val="0"/>
        </c:dLbls>
        <c:gapWidth val="400"/>
        <c:overlap val="100"/>
        <c:axId val="169458511"/>
        <c:axId val="169473871"/>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0.87</c:v>
                </c:pt>
                <c:pt idx="1">
                  <c:v>0.87</c:v>
                </c:pt>
                <c:pt idx="2">
                  <c:v>0.9</c:v>
                </c:pt>
                <c:pt idx="3">
                  <c:v>0.9</c:v>
                </c:pt>
              </c:numCache>
            </c:numRef>
          </c:val>
          <c:smooth val="0"/>
          <c:extLst>
            <c:ext xmlns:c16="http://schemas.microsoft.com/office/drawing/2014/chart" uri="{C3380CC4-5D6E-409C-BE32-E72D297353CC}">
              <c16:uniqueId val="{00000005-2238-44AA-97B6-EE44A93B0526}"/>
            </c:ext>
          </c:extLst>
        </c:ser>
        <c:dLbls>
          <c:showLegendKey val="0"/>
          <c:showVal val="0"/>
          <c:showCatName val="0"/>
          <c:showSerName val="0"/>
          <c:showPercent val="0"/>
          <c:showBubbleSize val="0"/>
        </c:dLbls>
        <c:marker val="1"/>
        <c:smooth val="0"/>
        <c:axId val="169458511"/>
        <c:axId val="169473871"/>
      </c:lineChart>
      <c:catAx>
        <c:axId val="1694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92591"/>
        <c:crosses val="autoZero"/>
        <c:auto val="1"/>
        <c:lblAlgn val="ctr"/>
        <c:lblOffset val="100"/>
        <c:noMultiLvlLbl val="0"/>
      </c:catAx>
      <c:valAx>
        <c:axId val="169492591"/>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6831"/>
        <c:crosses val="autoZero"/>
        <c:crossBetween val="between"/>
        <c:majorUnit val="0.2"/>
      </c:valAx>
      <c:valAx>
        <c:axId val="169473871"/>
        <c:scaling>
          <c:orientation val="minMax"/>
        </c:scaling>
        <c:delete val="1"/>
        <c:axPos val="r"/>
        <c:numFmt formatCode="0%" sourceLinked="1"/>
        <c:majorTickMark val="out"/>
        <c:minorTickMark val="none"/>
        <c:tickLblPos val="nextTo"/>
        <c:crossAx val="169458511"/>
        <c:crosses val="max"/>
        <c:crossBetween val="between"/>
      </c:valAx>
      <c:catAx>
        <c:axId val="169458511"/>
        <c:scaling>
          <c:orientation val="minMax"/>
        </c:scaling>
        <c:delete val="1"/>
        <c:axPos val="b"/>
        <c:numFmt formatCode="General" sourceLinked="1"/>
        <c:majorTickMark val="out"/>
        <c:minorTickMark val="none"/>
        <c:tickLblPos val="nextTo"/>
        <c:crossAx val="169473871"/>
        <c:crosses val="autoZero"/>
        <c:auto val="1"/>
        <c:lblAlgn val="ctr"/>
        <c:lblOffset val="100"/>
        <c:noMultiLvlLbl val="0"/>
      </c:cat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prst="angle"/>
            </a:sp3d>
          </c:spPr>
          <c:invertIfNegative val="0"/>
          <c:val>
            <c:numRef>
              <c:f>Calculations!$D$10:$O$10</c:f>
              <c:numCache>
                <c:formatCode>_-* #,##0_-;\-* #,##0_-;_-* "-"??_-;_-@_-</c:formatCode>
                <c:ptCount val="12"/>
                <c:pt idx="0">
                  <c:v>233403.99999999994</c:v>
                </c:pt>
                <c:pt idx="1">
                  <c:v>142968</c:v>
                </c:pt>
                <c:pt idx="2">
                  <c:v>190026</c:v>
                </c:pt>
                <c:pt idx="3">
                  <c:v>169802</c:v>
                </c:pt>
                <c:pt idx="4">
                  <c:v>188350</c:v>
                </c:pt>
                <c:pt idx="5">
                  <c:v>178272</c:v>
                </c:pt>
                <c:pt idx="6">
                  <c:v>197799.99999999997</c:v>
                </c:pt>
                <c:pt idx="7">
                  <c:v>193200</c:v>
                </c:pt>
                <c:pt idx="8">
                  <c:v>186300</c:v>
                </c:pt>
                <c:pt idx="9">
                  <c:v>177100</c:v>
                </c:pt>
                <c:pt idx="10">
                  <c:v>172500</c:v>
                </c:pt>
                <c:pt idx="11">
                  <c:v>156400</c:v>
                </c:pt>
              </c:numCache>
            </c:numRef>
          </c:val>
          <c:extLst>
            <c:ext xmlns:c16="http://schemas.microsoft.com/office/drawing/2014/chart" uri="{C3380CC4-5D6E-409C-BE32-E72D297353CC}">
              <c16:uniqueId val="{00000000-6D23-44EA-A0CD-2336232BF7FD}"/>
            </c:ext>
          </c:extLst>
        </c:ser>
        <c:dLbls>
          <c:showLegendKey val="0"/>
          <c:showVal val="0"/>
          <c:showCatName val="0"/>
          <c:showSerName val="0"/>
          <c:showPercent val="0"/>
          <c:showBubbleSize val="0"/>
        </c:dLbls>
        <c:gapWidth val="50"/>
        <c:overlap val="-27"/>
        <c:axId val="169438351"/>
        <c:axId val="169434511"/>
      </c:barChart>
      <c:lineChart>
        <c:grouping val="standard"/>
        <c:varyColors val="0"/>
        <c:ser>
          <c:idx val="1"/>
          <c:order val="1"/>
          <c:tx>
            <c:strRef>
              <c:f>Calculations!$C$11</c:f>
              <c:strCache>
                <c:ptCount val="1"/>
                <c:pt idx="0">
                  <c:v>Plan</c:v>
                </c:pt>
              </c:strCache>
            </c:strRef>
          </c:tx>
          <c:spPr>
            <a:ln w="28575" cap="rnd">
              <a:solidFill>
                <a:schemeClr val="accent6">
                  <a:lumMod val="60000"/>
                  <a:lumOff val="40000"/>
                </a:schemeClr>
              </a:solidFill>
              <a:round/>
            </a:ln>
            <a:effectLst/>
          </c:spPr>
          <c:marker>
            <c:symbol val="circle"/>
            <c:size val="10"/>
            <c:spPr>
              <a:solidFill>
                <a:srgbClr val="C00000"/>
              </a:solidFill>
              <a:ln w="9525">
                <a:solidFill>
                  <a:srgbClr val="C00000"/>
                </a:solidFill>
              </a:ln>
              <a:effectLst/>
            </c:spPr>
          </c:marker>
          <c:val>
            <c:numRef>
              <c:f>Calculations!$D$11:$O$11</c:f>
              <c:numCache>
                <c:formatCode>_-* #,##0_-;\-* #,##0_-;_-* "-"??_-;_-@_-</c:formatCode>
                <c:ptCount val="12"/>
                <c:pt idx="0">
                  <c:v>227514.62</c:v>
                </c:pt>
                <c:pt idx="1">
                  <c:v>130203</c:v>
                </c:pt>
                <c:pt idx="2">
                  <c:v>159528</c:v>
                </c:pt>
                <c:pt idx="3">
                  <c:v>188725.72</c:v>
                </c:pt>
                <c:pt idx="4">
                  <c:v>113141.59999999999</c:v>
                </c:pt>
                <c:pt idx="5">
                  <c:v>117072.76</c:v>
                </c:pt>
                <c:pt idx="6">
                  <c:v>192809</c:v>
                </c:pt>
                <c:pt idx="7">
                  <c:v>175950</c:v>
                </c:pt>
                <c:pt idx="8">
                  <c:v>156400</c:v>
                </c:pt>
                <c:pt idx="9">
                  <c:v>143106</c:v>
                </c:pt>
                <c:pt idx="10">
                  <c:v>131560</c:v>
                </c:pt>
                <c:pt idx="11">
                  <c:v>119462</c:v>
                </c:pt>
              </c:numCache>
            </c:numRef>
          </c:val>
          <c:smooth val="1"/>
          <c:extLst>
            <c:ext xmlns:c16="http://schemas.microsoft.com/office/drawing/2014/chart" uri="{C3380CC4-5D6E-409C-BE32-E72D297353CC}">
              <c16:uniqueId val="{00000001-6D23-44EA-A0CD-2336232BF7FD}"/>
            </c:ext>
          </c:extLst>
        </c:ser>
        <c:dLbls>
          <c:showLegendKey val="0"/>
          <c:showVal val="0"/>
          <c:showCatName val="0"/>
          <c:showSerName val="0"/>
          <c:showPercent val="0"/>
          <c:showBubbleSize val="0"/>
        </c:dLbls>
        <c:marker val="1"/>
        <c:smooth val="0"/>
        <c:axId val="169438351"/>
        <c:axId val="169434511"/>
      </c:lineChart>
      <c:catAx>
        <c:axId val="1694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4511"/>
        <c:crosses val="autoZero"/>
        <c:auto val="1"/>
        <c:lblAlgn val="ctr"/>
        <c:lblOffset val="100"/>
        <c:noMultiLvlLbl val="0"/>
      </c:catAx>
      <c:valAx>
        <c:axId val="169434511"/>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8351"/>
        <c:crosses val="autoZero"/>
        <c:crossBetween val="between"/>
      </c:valAx>
      <c:spPr>
        <a:noFill/>
        <a:ln>
          <a:noFill/>
        </a:ln>
        <a:effectLst/>
      </c:spPr>
    </c:plotArea>
    <c:legend>
      <c:legendPos val="b"/>
      <c:layout>
        <c:manualLayout>
          <c:xMode val="edge"/>
          <c:yMode val="edge"/>
          <c:x val="0.68851640419947513"/>
          <c:y val="3.7615193934091531E-2"/>
          <c:w val="0.31148366644922082"/>
          <c:h val="9.4582660860562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Calculations!$A$16</c:f>
              <c:strCache>
                <c:ptCount val="1"/>
                <c:pt idx="0">
                  <c:v>Termination</c:v>
                </c:pt>
              </c:strCache>
            </c:strRef>
          </c:tx>
          <c:spPr>
            <a:solidFill>
              <a:schemeClr val="accent6"/>
            </a:solidFill>
            <a:ln>
              <a:noFill/>
            </a:ln>
            <a:effectLst/>
            <a:scene3d>
              <a:camera prst="orthographicFront"/>
              <a:lightRig rig="threePt" dir="t"/>
            </a:scene3d>
            <a:sp3d>
              <a:bevelT prst="angle"/>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-5</c:v>
                </c:pt>
                <c:pt idx="2">
                  <c:v>-5</c:v>
                </c:pt>
                <c:pt idx="3">
                  <c:v>-3</c:v>
                </c:pt>
                <c:pt idx="4">
                  <c:v>-8</c:v>
                </c:pt>
                <c:pt idx="5">
                  <c:v>-3</c:v>
                </c:pt>
                <c:pt idx="6">
                  <c:v>0</c:v>
                </c:pt>
                <c:pt idx="7">
                  <c:v>-1</c:v>
                </c:pt>
                <c:pt idx="8">
                  <c:v>-3</c:v>
                </c:pt>
                <c:pt idx="9">
                  <c:v>0</c:v>
                </c:pt>
                <c:pt idx="10">
                  <c:v>-4</c:v>
                </c:pt>
                <c:pt idx="11">
                  <c:v>-8</c:v>
                </c:pt>
              </c:numCache>
            </c:numRef>
          </c:val>
          <c:extLst>
            <c:ext xmlns:c16="http://schemas.microsoft.com/office/drawing/2014/chart" uri="{C3380CC4-5D6E-409C-BE32-E72D297353CC}">
              <c16:uniqueId val="{00000000-B103-4B1C-8771-E83559E81C09}"/>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prst="angle"/>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9</c:v>
                </c:pt>
                <c:pt idx="2">
                  <c:v>2</c:v>
                </c:pt>
                <c:pt idx="3">
                  <c:v>3</c:v>
                </c:pt>
                <c:pt idx="4">
                  <c:v>12</c:v>
                </c:pt>
                <c:pt idx="5">
                  <c:v>6</c:v>
                </c:pt>
                <c:pt idx="6">
                  <c:v>9</c:v>
                </c:pt>
                <c:pt idx="7">
                  <c:v>13</c:v>
                </c:pt>
                <c:pt idx="8">
                  <c:v>5</c:v>
                </c:pt>
                <c:pt idx="9">
                  <c:v>5</c:v>
                </c:pt>
                <c:pt idx="10">
                  <c:v>15</c:v>
                </c:pt>
                <c:pt idx="11">
                  <c:v>-2</c:v>
                </c:pt>
              </c:numCache>
            </c:numRef>
          </c:val>
          <c:extLst>
            <c:ext xmlns:c16="http://schemas.microsoft.com/office/drawing/2014/chart" uri="{C3380CC4-5D6E-409C-BE32-E72D297353CC}">
              <c16:uniqueId val="{00000001-B103-4B1C-8771-E83559E81C09}"/>
            </c:ext>
          </c:extLst>
        </c:ser>
        <c:dLbls>
          <c:showLegendKey val="0"/>
          <c:showVal val="0"/>
          <c:showCatName val="0"/>
          <c:showSerName val="0"/>
          <c:showPercent val="0"/>
          <c:showBubbleSize val="0"/>
        </c:dLbls>
        <c:gapWidth val="20"/>
        <c:overlap val="100"/>
        <c:axId val="169439791"/>
        <c:axId val="169426351"/>
      </c:barChart>
      <c:catAx>
        <c:axId val="1694397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6351"/>
        <c:crosses val="autoZero"/>
        <c:auto val="1"/>
        <c:lblAlgn val="ctr"/>
        <c:lblOffset val="100"/>
        <c:noMultiLvlLbl val="0"/>
      </c:catAx>
      <c:valAx>
        <c:axId val="16942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227469.99999999997</c:v>
                </c:pt>
                <c:pt idx="1">
                  <c:v>225195.29999999996</c:v>
                </c:pt>
                <c:pt idx="2">
                  <c:v>164392.56899999996</c:v>
                </c:pt>
                <c:pt idx="3">
                  <c:v>129870.12950999997</c:v>
                </c:pt>
                <c:pt idx="4">
                  <c:v>193349.49999999997</c:v>
                </c:pt>
                <c:pt idx="5">
                  <c:v>191416.00499999995</c:v>
                </c:pt>
                <c:pt idx="6">
                  <c:v>229744.69999999998</c:v>
                </c:pt>
                <c:pt idx="7">
                  <c:v>162140.61599999995</c:v>
                </c:pt>
                <c:pt idx="8">
                  <c:v>123294.42674999997</c:v>
                </c:pt>
                <c:pt idx="9">
                  <c:v>102597.40231289998</c:v>
                </c:pt>
                <c:pt idx="10">
                  <c:v>145012.12499999997</c:v>
                </c:pt>
                <c:pt idx="11">
                  <c:v>137819.52359999996</c:v>
                </c:pt>
              </c:numCache>
            </c:numRef>
          </c:val>
          <c:smooth val="1"/>
          <c:extLst>
            <c:ext xmlns:c16="http://schemas.microsoft.com/office/drawing/2014/chart" uri="{C3380CC4-5D6E-409C-BE32-E72D297353CC}">
              <c16:uniqueId val="{00000000-8D8A-4AF8-B4DE-1035DFE96D10}"/>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202448.3</c:v>
                </c:pt>
                <c:pt idx="13" formatCode="_-* #,##0_-;\-* #,##0_-;_-* &quot;-&quot;??_-;_-@_-">
                  <c:v>208521.74899999998</c:v>
                </c:pt>
                <c:pt idx="14" formatCode="_-* #,##0_-;\-* #,##0_-;_-* &quot;-&quot;??_-;_-@_-">
                  <c:v>160561.74672999998</c:v>
                </c:pt>
                <c:pt idx="15" formatCode="_-* #,##0_-;\-* #,##0_-;_-* &quot;-&quot;??_-;_-@_-">
                  <c:v>126843.77991669999</c:v>
                </c:pt>
                <c:pt idx="16" formatCode="_-* #,##0_-;\-* #,##0_-;_-* &quot;-&quot;??_-;_-@_-">
                  <c:v>172081.05499999999</c:v>
                </c:pt>
                <c:pt idx="17" formatCode="_-* #,##0_-;\-* #,##0_-;_-* &quot;-&quot;??_-;_-@_-">
                  <c:v>177243.48664999998</c:v>
                </c:pt>
                <c:pt idx="18" formatCode="_-* #,##0_-;\-* #,##0_-;_-* &quot;-&quot;??_-;_-@_-">
                  <c:v>216619.68100000001</c:v>
                </c:pt>
                <c:pt idx="19" formatCode="_-* #,##0_-;\-* #,##0_-;_-* &quot;-&quot;??_-;_-@_-">
                  <c:v>160561.74672999998</c:v>
                </c:pt>
                <c:pt idx="20" formatCode="_-* #,##0_-;\-* #,##0_-;_-* &quot;-&quot;??_-;_-@_-">
                  <c:v>122026.92751479999</c:v>
                </c:pt>
                <c:pt idx="21" formatCode="_-* #,##0_-;\-* #,##0_-;_-* &quot;-&quot;??_-;_-@_-">
                  <c:v>95132.834937524996</c:v>
                </c:pt>
                <c:pt idx="22" formatCode="_-* #,##0_-;\-* #,##0_-;_-* &quot;-&quot;??_-;_-@_-">
                  <c:v>120456.73849999999</c:v>
                </c:pt>
                <c:pt idx="23" formatCode="_-* #,##0_-;\-* #,##0_-;_-* &quot;-&quot;??_-;_-@_-">
                  <c:v>140022.35445349998</c:v>
                </c:pt>
              </c:numCache>
            </c:numRef>
          </c:val>
          <c:smooth val="1"/>
          <c:extLst>
            <c:ext xmlns:c16="http://schemas.microsoft.com/office/drawing/2014/chart" uri="{C3380CC4-5D6E-409C-BE32-E72D297353CC}">
              <c16:uniqueId val="{00000001-8D8A-4AF8-B4DE-1035DFE96D10}"/>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66807.938999999998</c:v>
                </c:pt>
                <c:pt idx="25" formatCode="_-* #,##0_-;\-* #,##0_-;_-* &quot;-&quot;??_-;_-@_-">
                  <c:v>70816.415340000007</c:v>
                </c:pt>
                <c:pt idx="26" formatCode="_-* #,##0_-;\-* #,##0_-;_-* &quot;-&quot;??_-;_-@_-">
                  <c:v>49571.490738</c:v>
                </c:pt>
                <c:pt idx="27" formatCode="_-* #,##0_-;\-* #,##0_-;_-* &quot;-&quot;??_-;_-@_-">
                  <c:v>36187.188238739996</c:v>
                </c:pt>
                <c:pt idx="28" formatCode="_-* #,##0_-;\-* #,##0_-;_-* &quot;-&quot;??_-;_-@_-">
                  <c:v>56786.748149999999</c:v>
                </c:pt>
                <c:pt idx="29" formatCode="_-* #,##0_-;\-* #,##0_-;_-* &quot;-&quot;??_-;_-@_-">
                  <c:v>60193.953039000007</c:v>
                </c:pt>
                <c:pt idx="30" formatCode="_-* #,##0_-;\-* #,##0_-;_-* &quot;-&quot;??_-;_-@_-">
                  <c:v>68144.097779999996</c:v>
                </c:pt>
                <c:pt idx="31" formatCode="_-* #,##0_-;\-* #,##0_-;_-* &quot;-&quot;??_-;_-@_-">
                  <c:v>50987.819044800002</c:v>
                </c:pt>
                <c:pt idx="32" formatCode="_-* #,##0_-;\-* #,##0_-;_-* &quot;-&quot;??_-;_-@_-">
                  <c:v>39657.192590400002</c:v>
                </c:pt>
                <c:pt idx="33" formatCode="_-* #,##0_-;\-* #,##0_-;_-* &quot;-&quot;??_-;_-@_-">
                  <c:v>25331.031767117995</c:v>
                </c:pt>
                <c:pt idx="34" formatCode="_-* #,##0_-;\-* #,##0_-;_-* &quot;-&quot;??_-;_-@_-">
                  <c:v>42022.193631000002</c:v>
                </c:pt>
                <c:pt idx="35" formatCode="_-* #,##0_-;\-* #,##0_-;_-* &quot;-&quot;??_-;_-@_-">
                  <c:v>44543.525248860002</c:v>
                </c:pt>
              </c:numCache>
            </c:numRef>
          </c:val>
          <c:smooth val="1"/>
          <c:extLst>
            <c:ext xmlns:c16="http://schemas.microsoft.com/office/drawing/2014/chart" uri="{C3380CC4-5D6E-409C-BE32-E72D297353CC}">
              <c16:uniqueId val="{00000002-8D8A-4AF8-B4DE-1035DFE96D10}"/>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22046.619870000002</c:v>
                </c:pt>
                <c:pt idx="37" formatCode="_-* #,##0_-;\-* #,##0_-;_-* &quot;-&quot;??_-;_-@_-">
                  <c:v>21605.687472600002</c:v>
                </c:pt>
                <c:pt idx="38" formatCode="_-* #,##0_-;\-* #,##0_-;_-* &quot;-&quot;??_-;_-@_-">
                  <c:v>16420.322479176</c:v>
                </c:pt>
                <c:pt idx="39" formatCode="_-* #,##0_-;\-* #,##0_-;_-* &quot;-&quot;??_-;_-@_-">
                  <c:v>12315.241859382</c:v>
                </c:pt>
                <c:pt idx="40" formatCode="_-* #,##0_-;\-* #,##0_-;_-* &quot;-&quot;??_-;_-@_-">
                  <c:v>18739.626889500003</c:v>
                </c:pt>
                <c:pt idx="41" formatCode="_-* #,##0_-;\-* #,##0_-;_-* &quot;-&quot;??_-;_-@_-">
                  <c:v>18364.83435171</c:v>
                </c:pt>
                <c:pt idx="42" formatCode="_-* #,##0_-;\-* #,##0_-;_-* &quot;-&quot;??_-;_-@_-">
                  <c:v>21605.687472600002</c:v>
                </c:pt>
                <c:pt idx="43" formatCode="_-* #,##0_-;\-* #,##0_-;_-* &quot;-&quot;??_-;_-@_-">
                  <c:v>16420.322479176</c:v>
                </c:pt>
                <c:pt idx="44" formatCode="_-* #,##0_-;\-* #,##0_-;_-* &quot;-&quot;??_-;_-@_-">
                  <c:v>12151.038634590241</c:v>
                </c:pt>
                <c:pt idx="45" formatCode="_-* #,##0_-;\-* #,##0_-;_-* &quot;-&quot;??_-;_-@_-">
                  <c:v>9852.1934875056013</c:v>
                </c:pt>
                <c:pt idx="46" formatCode="_-* #,##0_-;\-* #,##0_-;_-* &quot;-&quot;??_-;_-@_-">
                  <c:v>13492.531360440002</c:v>
                </c:pt>
                <c:pt idx="47" formatCode="_-* #,##0_-;\-* #,##0_-;_-* &quot;-&quot;??_-;_-@_-">
                  <c:v>14324.5707943338</c:v>
                </c:pt>
              </c:numCache>
            </c:numRef>
          </c:val>
          <c:smooth val="1"/>
          <c:extLst>
            <c:ext xmlns:c16="http://schemas.microsoft.com/office/drawing/2014/chart" uri="{C3380CC4-5D6E-409C-BE32-E72D297353CC}">
              <c16:uniqueId val="{00000003-8D8A-4AF8-B4DE-1035DFE96D10}"/>
            </c:ext>
          </c:extLst>
        </c:ser>
        <c:dLbls>
          <c:showLegendKey val="0"/>
          <c:showVal val="0"/>
          <c:showCatName val="0"/>
          <c:showSerName val="0"/>
          <c:showPercent val="0"/>
          <c:showBubbleSize val="0"/>
        </c:dLbls>
        <c:marker val="1"/>
        <c:smooth val="0"/>
        <c:axId val="169444111"/>
        <c:axId val="169442191"/>
      </c:lineChart>
      <c:scatterChart>
        <c:scatterStyle val="lineMarker"/>
        <c:varyColors val="0"/>
        <c:ser>
          <c:idx val="4"/>
          <c:order val="4"/>
          <c:tx>
            <c:strRef>
              <c:f>Calculations!$J$99</c:f>
              <c:strCache>
                <c:ptCount val="1"/>
                <c:pt idx="0">
                  <c:v>Vertical Grid</c:v>
                </c:pt>
              </c:strCache>
            </c:strRef>
          </c:tx>
          <c:spPr>
            <a:ln w="9525" cap="rnd">
              <a:solidFill>
                <a:schemeClr val="bg1">
                  <a:lumMod val="95000"/>
                </a:schemeClr>
              </a:solidFill>
              <a:round/>
            </a:ln>
            <a:effectLst/>
          </c:spPr>
          <c:marker>
            <c:symbol val="none"/>
          </c:marker>
          <c:errBars>
            <c:errDir val="x"/>
            <c:errBarType val="both"/>
            <c:errValType val="fixedVal"/>
            <c:noEndCap val="0"/>
            <c:val val="1"/>
            <c:spPr>
              <a:noFill/>
              <a:ln w="9525" cap="flat" cmpd="sng" algn="ctr">
                <a:solidFill>
                  <a:schemeClr val="bg1"/>
                </a:solidFill>
                <a:round/>
              </a:ln>
              <a:effectLst/>
            </c:spPr>
          </c:errBars>
          <c:xVal>
            <c:numRef>
              <c:f>Calculations!$I$100:$I$102</c:f>
              <c:numCache>
                <c:formatCode>General</c:formatCode>
                <c:ptCount val="3"/>
                <c:pt idx="0">
                  <c:v>12.5</c:v>
                </c:pt>
                <c:pt idx="1">
                  <c:v>24.5</c:v>
                </c:pt>
                <c:pt idx="2">
                  <c:v>36.5</c:v>
                </c:pt>
              </c:numCache>
            </c:numRef>
          </c:xVal>
          <c:yVal>
            <c:numRef>
              <c:f>Calculations!$J$100:$J$102</c:f>
              <c:numCache>
                <c:formatCode>General</c:formatCode>
                <c:ptCount val="3"/>
                <c:pt idx="0">
                  <c:v>0</c:v>
                </c:pt>
                <c:pt idx="1">
                  <c:v>0</c:v>
                </c:pt>
                <c:pt idx="2">
                  <c:v>0</c:v>
                </c:pt>
              </c:numCache>
            </c:numRef>
          </c:yVal>
          <c:smooth val="0"/>
          <c:extLst>
            <c:ext xmlns:c16="http://schemas.microsoft.com/office/drawing/2014/chart" uri="{C3380CC4-5D6E-409C-BE32-E72D297353CC}">
              <c16:uniqueId val="{00000005-8D8A-4AF8-B4DE-1035DFE96D10}"/>
            </c:ext>
          </c:extLst>
        </c:ser>
        <c:dLbls>
          <c:showLegendKey val="0"/>
          <c:showVal val="0"/>
          <c:showCatName val="0"/>
          <c:showSerName val="0"/>
          <c:showPercent val="0"/>
          <c:showBubbleSize val="0"/>
        </c:dLbls>
        <c:axId val="2014028048"/>
        <c:axId val="2014027088"/>
      </c:scatterChart>
      <c:catAx>
        <c:axId val="16944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42191"/>
        <c:crosses val="autoZero"/>
        <c:auto val="1"/>
        <c:lblAlgn val="ctr"/>
        <c:lblOffset val="100"/>
        <c:noMultiLvlLbl val="0"/>
      </c:catAx>
      <c:valAx>
        <c:axId val="169442191"/>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44111"/>
        <c:crosses val="autoZero"/>
        <c:crossBetween val="between"/>
      </c:valAx>
      <c:valAx>
        <c:axId val="2014027088"/>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4028048"/>
        <c:crosses val="max"/>
        <c:crossBetween val="midCat"/>
      </c:valAx>
      <c:valAx>
        <c:axId val="2014028048"/>
        <c:scaling>
          <c:orientation val="minMax"/>
        </c:scaling>
        <c:delete val="1"/>
        <c:axPos val="t"/>
        <c:numFmt formatCode="General" sourceLinked="1"/>
        <c:majorTickMark val="out"/>
        <c:minorTickMark val="none"/>
        <c:tickLblPos val="nextTo"/>
        <c:crossAx val="2014027088"/>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50000"/>
              </a:schemeClr>
            </a:solidFill>
            <a:ln>
              <a:noFill/>
            </a:ln>
            <a:effectLst/>
            <a:scene3d>
              <a:camera prst="orthographicFront"/>
              <a:lightRig rig="threePt" dir="t"/>
            </a:scene3d>
            <a:sp3d>
              <a:bevelT prst="convex"/>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41</c:v>
                </c:pt>
                <c:pt idx="1">
                  <c:v>32</c:v>
                </c:pt>
                <c:pt idx="2">
                  <c:v>36</c:v>
                </c:pt>
              </c:numCache>
            </c:numRef>
          </c:val>
          <c:extLst>
            <c:ext xmlns:c16="http://schemas.microsoft.com/office/drawing/2014/chart" uri="{C3380CC4-5D6E-409C-BE32-E72D297353CC}">
              <c16:uniqueId val="{00000000-F95B-45B5-9A4F-BD26E92119E3}"/>
            </c:ext>
          </c:extLst>
        </c:ser>
        <c:dLbls>
          <c:showLegendKey val="0"/>
          <c:showVal val="0"/>
          <c:showCatName val="0"/>
          <c:showSerName val="0"/>
          <c:showPercent val="0"/>
          <c:showBubbleSize val="0"/>
        </c:dLbls>
        <c:gapWidth val="20"/>
        <c:overlap val="-27"/>
        <c:axId val="196907407"/>
        <c:axId val="196909327"/>
      </c:barChart>
      <c:catAx>
        <c:axId val="19690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9327"/>
        <c:crosses val="autoZero"/>
        <c:auto val="1"/>
        <c:lblAlgn val="ctr"/>
        <c:lblOffset val="100"/>
        <c:noMultiLvlLbl val="0"/>
      </c:catAx>
      <c:valAx>
        <c:axId val="19690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57151205006"/>
          <c:y val="0.12843497628565501"/>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0F64-4AF6-BD78-F7D4BFE737D7}"/>
              </c:ext>
            </c:extLst>
          </c:dPt>
          <c:dLbls>
            <c:dLbl>
              <c:idx val="0"/>
              <c:layout>
                <c:manualLayout>
                  <c:x val="6.9453369172000998E-2"/>
                  <c:y val="-0.11720933666635035"/>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64-4AF6-BD78-F7D4BFE737D7}"/>
                </c:ext>
              </c:extLst>
            </c:dLbl>
            <c:dLbl>
              <c:idx val="1"/>
              <c:delete val="1"/>
              <c:extLst>
                <c:ext xmlns:c15="http://schemas.microsoft.com/office/drawing/2012/chart" uri="{CE6537A1-D6FC-4f65-9D91-7224C49458BB}"/>
                <c:ext xmlns:c16="http://schemas.microsoft.com/office/drawing/2014/chart" uri="{C3380CC4-5D6E-409C-BE32-E72D297353CC}">
                  <c16:uniqueId val="{00000003-0F64-4AF6-BD78-F7D4BFE73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extLst>
          </c:dLbls>
          <c:cat>
            <c:strRef>
              <c:f>(Calculations!$E$32,Calculations!$C$32)</c:f>
              <c:strCache>
                <c:ptCount val="2"/>
                <c:pt idx="0">
                  <c:v>CY</c:v>
                </c:pt>
                <c:pt idx="1">
                  <c:v>PY</c:v>
                </c:pt>
              </c:strCache>
            </c:strRef>
          </c:cat>
          <c:val>
            <c:numRef>
              <c:f>Calculations!$C$42:$D$42</c:f>
              <c:numCache>
                <c:formatCode>0%</c:formatCode>
                <c:ptCount val="2"/>
                <c:pt idx="0">
                  <c:v>0.72000000000000008</c:v>
                </c:pt>
                <c:pt idx="1">
                  <c:v>0.27999999999999992</c:v>
                </c:pt>
              </c:numCache>
            </c:numRef>
          </c:val>
          <c:extLst>
            <c:ext xmlns:c16="http://schemas.microsoft.com/office/drawing/2014/chart" uri="{C3380CC4-5D6E-409C-BE32-E72D297353CC}">
              <c16:uniqueId val="{00000004-0F64-4AF6-BD78-F7D4BFE737D7}"/>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6-0F64-4AF6-BD78-F7D4BFE737D7}"/>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0F64-4AF6-BD78-F7D4BFE737D7}"/>
              </c:ext>
            </c:extLst>
          </c:dPt>
          <c:dLbls>
            <c:dLbl>
              <c:idx val="0"/>
              <c:layout>
                <c:manualLayout>
                  <c:x val="-0.23151123057333664"/>
                  <c:y val="-0.1562791155551336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layout>
                    <c:manualLayout>
                      <c:w val="0.18914467537841603"/>
                      <c:h val="8.921885053106772E-2"/>
                    </c:manualLayout>
                  </c15:layout>
                </c:ext>
                <c:ext xmlns:c16="http://schemas.microsoft.com/office/drawing/2014/chart" uri="{C3380CC4-5D6E-409C-BE32-E72D297353CC}">
                  <c16:uniqueId val="{00000006-0F64-4AF6-BD78-F7D4BFE73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eparator> </c:separator>
            <c:showLeaderLines val="0"/>
            <c:extLst>
              <c:ext xmlns:c15="http://schemas.microsoft.com/office/drawing/2012/chart" uri="{CE6537A1-D6FC-4f65-9D91-7224C49458BB}"/>
            </c:extLst>
          </c:dLbls>
          <c:cat>
            <c:strRef>
              <c:f>(Calculations!$E$32,Calculations!$C$32)</c:f>
              <c:strCache>
                <c:ptCount val="2"/>
                <c:pt idx="0">
                  <c:v>CY</c:v>
                </c:pt>
                <c:pt idx="1">
                  <c:v>PY</c:v>
                </c:pt>
              </c:strCache>
            </c:strRef>
          </c:cat>
          <c:val>
            <c:numRef>
              <c:f>Calculations!$E$42:$F$42</c:f>
              <c:numCache>
                <c:formatCode>0%</c:formatCode>
                <c:ptCount val="2"/>
                <c:pt idx="0">
                  <c:v>0.8</c:v>
                </c:pt>
                <c:pt idx="1">
                  <c:v>0.19999999999999996</c:v>
                </c:pt>
              </c:numCache>
            </c:numRef>
          </c:val>
          <c:extLst>
            <c:ext xmlns:c16="http://schemas.microsoft.com/office/drawing/2014/chart" uri="{C3380CC4-5D6E-409C-BE32-E72D297353CC}">
              <c16:uniqueId val="{00000009-0F64-4AF6-BD78-F7D4BFE737D7}"/>
            </c:ext>
          </c:extLst>
        </c:ser>
        <c:dLbls>
          <c:showLegendKey val="0"/>
          <c:showVal val="0"/>
          <c:showCatName val="0"/>
          <c:showSerName val="0"/>
          <c:showPercent val="0"/>
          <c:showBubbleSize val="0"/>
          <c:showLeaderLines val="0"/>
        </c:dLbls>
        <c:firstSliceAng val="72"/>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122834645669287E-2"/>
          <c:y val="0.14889327785414938"/>
          <c:w val="0.88016368143587076"/>
          <c:h val="0.71381994001149995"/>
        </c:manualLayout>
      </c:layout>
      <c:barChart>
        <c:barDir val="col"/>
        <c:grouping val="clustered"/>
        <c:varyColors val="0"/>
        <c:ser>
          <c:idx val="0"/>
          <c:order val="0"/>
          <c:tx>
            <c:strRef>
              <c:f>Calculations!$C$46</c:f>
              <c:strCache>
                <c:ptCount val="1"/>
                <c:pt idx="0">
                  <c:v>Actual</c:v>
                </c:pt>
              </c:strCache>
            </c:strRef>
          </c:tx>
          <c:spPr>
            <a:solidFill>
              <a:schemeClr val="accent6">
                <a:lumMod val="60000"/>
                <a:lumOff val="40000"/>
              </a:schemeClr>
            </a:solidFill>
            <a:ln>
              <a:noFill/>
            </a:ln>
            <a:effectLst/>
            <a:scene3d>
              <a:camera prst="orthographicFront"/>
              <a:lightRig rig="threePt" dir="t"/>
            </a:scene3d>
            <a:sp3d>
              <a:bevelT/>
            </a:sp3d>
          </c:spPr>
          <c:invertIfNegative val="0"/>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1085.7265920000002</c:v>
                </c:pt>
                <c:pt idx="1">
                  <c:v>1343.5086600000002</c:v>
                </c:pt>
                <c:pt idx="2">
                  <c:v>1126.4679720000001</c:v>
                </c:pt>
                <c:pt idx="3">
                  <c:v>1432.55592</c:v>
                </c:pt>
                <c:pt idx="4">
                  <c:v>1478.7045000000001</c:v>
                </c:pt>
                <c:pt idx="5">
                  <c:v>1609.2399599999999</c:v>
                </c:pt>
                <c:pt idx="6">
                  <c:v>2073.4362000000001</c:v>
                </c:pt>
                <c:pt idx="7">
                  <c:v>2183.9328000000005</c:v>
                </c:pt>
              </c:numCache>
            </c:numRef>
          </c:val>
          <c:extLst>
            <c:ext xmlns:c16="http://schemas.microsoft.com/office/drawing/2014/chart" uri="{C3380CC4-5D6E-409C-BE32-E72D297353CC}">
              <c16:uniqueId val="{00000000-7DC9-4A58-BC4D-4C8EA2809F0A}"/>
            </c:ext>
          </c:extLst>
        </c:ser>
        <c:dLbls>
          <c:showLegendKey val="0"/>
          <c:showVal val="0"/>
          <c:showCatName val="0"/>
          <c:showSerName val="0"/>
          <c:showPercent val="0"/>
          <c:showBubbleSize val="0"/>
        </c:dLbls>
        <c:gapWidth val="15"/>
        <c:overlap val="-27"/>
        <c:axId val="2014049168"/>
        <c:axId val="2014054448"/>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1095.726592</c:v>
                </c:pt>
                <c:pt idx="1">
                  <c:v>1437.5542662000003</c:v>
                </c:pt>
                <c:pt idx="2">
                  <c:v>1092.6739328400001</c:v>
                </c:pt>
                <c:pt idx="3">
                  <c:v>1332.2770055999999</c:v>
                </c:pt>
                <c:pt idx="4">
                  <c:v>1523.0656349999999</c:v>
                </c:pt>
                <c:pt idx="5">
                  <c:v>1577.0551608000001</c:v>
                </c:pt>
                <c:pt idx="6">
                  <c:v>2135.6392859999996</c:v>
                </c:pt>
                <c:pt idx="7">
                  <c:v>2118.414816</c:v>
                </c:pt>
              </c:numCache>
            </c:numRef>
          </c:val>
          <c:extLst>
            <c:ext xmlns:c16="http://schemas.microsoft.com/office/drawing/2014/chart" uri="{C3380CC4-5D6E-409C-BE32-E72D297353CC}">
              <c16:uniqueId val="{00000001-7DC9-4A58-BC4D-4C8EA2809F0A}"/>
            </c:ext>
          </c:extLst>
        </c:ser>
        <c:dLbls>
          <c:showLegendKey val="0"/>
          <c:showVal val="0"/>
          <c:showCatName val="0"/>
          <c:showSerName val="0"/>
          <c:showPercent val="0"/>
          <c:showBubbleSize val="0"/>
        </c:dLbls>
        <c:gapWidth val="60"/>
        <c:overlap val="-27"/>
        <c:axId val="867147439"/>
        <c:axId val="867146479"/>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2171.4531840000004</c:v>
                </c:pt>
                <c:pt idx="1">
                  <c:v>2687.0173200000004</c:v>
                </c:pt>
                <c:pt idx="2">
                  <c:v>2252.9359440000003</c:v>
                </c:pt>
                <c:pt idx="3">
                  <c:v>2865.11184</c:v>
                </c:pt>
                <c:pt idx="4">
                  <c:v>2957.4090000000001</c:v>
                </c:pt>
                <c:pt idx="5">
                  <c:v>3218.4799199999998</c:v>
                </c:pt>
                <c:pt idx="6">
                  <c:v>4146.8724000000002</c:v>
                </c:pt>
                <c:pt idx="7">
                  <c:v>4367.865600000001</c:v>
                </c:pt>
              </c:numCache>
            </c:numRef>
          </c:val>
          <c:smooth val="1"/>
          <c:extLst>
            <c:ext xmlns:c16="http://schemas.microsoft.com/office/drawing/2014/chart" uri="{C3380CC4-5D6E-409C-BE32-E72D297353CC}">
              <c16:uniqueId val="{00000002-7DC9-4A58-BC4D-4C8EA2809F0A}"/>
            </c:ext>
          </c:extLst>
        </c:ser>
        <c:dLbls>
          <c:showLegendKey val="0"/>
          <c:showVal val="0"/>
          <c:showCatName val="0"/>
          <c:showSerName val="0"/>
          <c:showPercent val="0"/>
          <c:showBubbleSize val="0"/>
        </c:dLbls>
        <c:marker val="1"/>
        <c:smooth val="0"/>
        <c:axId val="2014049168"/>
        <c:axId val="2014054448"/>
      </c:lineChart>
      <c:catAx>
        <c:axId val="20140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054448"/>
        <c:crosses val="autoZero"/>
        <c:auto val="1"/>
        <c:lblAlgn val="ctr"/>
        <c:lblOffset val="100"/>
        <c:noMultiLvlLbl val="0"/>
      </c:catAx>
      <c:valAx>
        <c:axId val="2014054448"/>
        <c:scaling>
          <c:orientation val="minMax"/>
        </c:scaling>
        <c:delete val="1"/>
        <c:axPos val="l"/>
        <c:numFmt formatCode="_-* #,##0_-;\-* #,##0_-;_-* &quot;-&quot;??_-;_-@_-" sourceLinked="1"/>
        <c:majorTickMark val="none"/>
        <c:minorTickMark val="none"/>
        <c:tickLblPos val="nextTo"/>
        <c:crossAx val="2014049168"/>
        <c:crosses val="autoZero"/>
        <c:crossBetween val="between"/>
      </c:valAx>
      <c:valAx>
        <c:axId val="867146479"/>
        <c:scaling>
          <c:orientation val="minMax"/>
        </c:scaling>
        <c:delete val="1"/>
        <c:axPos val="r"/>
        <c:numFmt formatCode="_-* #,##0_-;\-* #,##0_-;_-* &quot;-&quot;??_-;_-@_-" sourceLinked="1"/>
        <c:majorTickMark val="out"/>
        <c:minorTickMark val="none"/>
        <c:tickLblPos val="nextTo"/>
        <c:crossAx val="867147439"/>
        <c:crosses val="max"/>
        <c:crossBetween val="between"/>
      </c:valAx>
      <c:catAx>
        <c:axId val="867147439"/>
        <c:scaling>
          <c:orientation val="minMax"/>
        </c:scaling>
        <c:delete val="1"/>
        <c:axPos val="b"/>
        <c:numFmt formatCode="General" sourceLinked="1"/>
        <c:majorTickMark val="out"/>
        <c:minorTickMark val="none"/>
        <c:tickLblPos val="nextTo"/>
        <c:crossAx val="867146479"/>
        <c:crosses val="autoZero"/>
        <c:auto val="1"/>
        <c:lblAlgn val="ctr"/>
        <c:lblOffset val="100"/>
        <c:noMultiLvlLbl val="0"/>
      </c:catAx>
      <c:spPr>
        <a:noFill/>
        <a:ln>
          <a:noFill/>
        </a:ln>
        <a:effectLst/>
      </c:spPr>
    </c:plotArea>
    <c:legend>
      <c:legendPos val="b"/>
      <c:layout>
        <c:manualLayout>
          <c:xMode val="edge"/>
          <c:yMode val="edge"/>
          <c:x val="0.33831408573928257"/>
          <c:y val="2.372630504520264E-2"/>
          <c:w val="0.66168598425196845"/>
          <c:h val="0.12347652140446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Calculations!$B$28</c:f>
              <c:strCache>
                <c:ptCount val="1"/>
                <c:pt idx="0">
                  <c:v>WA</c:v>
                </c:pt>
              </c:strCache>
            </c:strRef>
          </c:tx>
          <c:spPr>
            <a:ln w="28575" cap="rnd">
              <a:solidFill>
                <a:schemeClr val="accent6">
                  <a:lumMod val="50000"/>
                </a:schemeClr>
              </a:solidFill>
              <a:round/>
            </a:ln>
            <a:effectLst/>
          </c:spPr>
          <c:marker>
            <c:symbol val="circle"/>
            <c:size val="10"/>
            <c:spPr>
              <a:solidFill>
                <a:schemeClr val="bg1"/>
              </a:solidFill>
              <a:ln w="15875">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1005302.4000000001</c:v>
                </c:pt>
                <c:pt idx="1">
                  <c:v>1267461</c:v>
                </c:pt>
                <c:pt idx="2">
                  <c:v>988129.8</c:v>
                </c:pt>
                <c:pt idx="3">
                  <c:v>1256628</c:v>
                </c:pt>
                <c:pt idx="4">
                  <c:v>1408290</c:v>
                </c:pt>
                <c:pt idx="5">
                  <c:v>1411614</c:v>
                </c:pt>
                <c:pt idx="6">
                  <c:v>1884941.9999999998</c:v>
                </c:pt>
                <c:pt idx="7">
                  <c:v>1949940</c:v>
                </c:pt>
              </c:numCache>
            </c:numRef>
          </c:val>
          <c:smooth val="0"/>
          <c:extLst>
            <c:ext xmlns:c16="http://schemas.microsoft.com/office/drawing/2014/chart" uri="{C3380CC4-5D6E-409C-BE32-E72D297353CC}">
              <c16:uniqueId val="{00000000-3C6A-4D1A-919D-16175251BAB5}"/>
            </c:ext>
          </c:extLst>
        </c:ser>
        <c:dLbls>
          <c:showLegendKey val="0"/>
          <c:showVal val="0"/>
          <c:showCatName val="0"/>
          <c:showSerName val="0"/>
          <c:showPercent val="0"/>
          <c:showBubbleSize val="0"/>
        </c:dLbls>
        <c:marker val="1"/>
        <c:smooth val="0"/>
        <c:axId val="1225602576"/>
        <c:axId val="1225597296"/>
      </c:lineChart>
      <c:catAx>
        <c:axId val="122560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597296"/>
        <c:crosses val="autoZero"/>
        <c:auto val="1"/>
        <c:lblAlgn val="ctr"/>
        <c:lblOffset val="100"/>
        <c:noMultiLvlLbl val="0"/>
      </c:catAx>
      <c:valAx>
        <c:axId val="1225597296"/>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60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4939-42BE-AE84-6B468DD67713}"/>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4939-42BE-AE84-6B468DD67713}"/>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4939-42BE-AE84-6B468DD67713}"/>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4939-42BE-AE84-6B468DD67713}"/>
            </c:ext>
          </c:extLst>
        </c:ser>
        <c:dLbls>
          <c:showLegendKey val="0"/>
          <c:showVal val="0"/>
          <c:showCatName val="0"/>
          <c:showSerName val="0"/>
          <c:showPercent val="0"/>
          <c:showBubbleSize val="0"/>
        </c:dLbls>
        <c:gapWidth val="50"/>
        <c:overlap val="100"/>
        <c:axId val="169486831"/>
        <c:axId val="169492591"/>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0.72</c:v>
                </c:pt>
                <c:pt idx="1">
                  <c:v>0.75</c:v>
                </c:pt>
                <c:pt idx="2">
                  <c:v>0.77</c:v>
                </c:pt>
                <c:pt idx="3">
                  <c:v>0.8</c:v>
                </c:pt>
              </c:numCache>
            </c:numRef>
          </c:val>
          <c:extLst>
            <c:ext xmlns:c16="http://schemas.microsoft.com/office/drawing/2014/chart" uri="{C3380CC4-5D6E-409C-BE32-E72D297353CC}">
              <c16:uniqueId val="{00000004-4939-42BE-AE84-6B468DD67713}"/>
            </c:ext>
          </c:extLst>
        </c:ser>
        <c:dLbls>
          <c:showLegendKey val="0"/>
          <c:showVal val="0"/>
          <c:showCatName val="0"/>
          <c:showSerName val="0"/>
          <c:showPercent val="0"/>
          <c:showBubbleSize val="0"/>
        </c:dLbls>
        <c:gapWidth val="400"/>
        <c:overlap val="100"/>
        <c:axId val="169458511"/>
        <c:axId val="169473871"/>
      </c:barChart>
      <c:lineChart>
        <c:grouping val="standar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0.87</c:v>
                </c:pt>
                <c:pt idx="1">
                  <c:v>0.87</c:v>
                </c:pt>
                <c:pt idx="2">
                  <c:v>0.9</c:v>
                </c:pt>
                <c:pt idx="3">
                  <c:v>0.9</c:v>
                </c:pt>
              </c:numCache>
            </c:numRef>
          </c:val>
          <c:smooth val="0"/>
          <c:extLst>
            <c:ext xmlns:c16="http://schemas.microsoft.com/office/drawing/2014/chart" uri="{C3380CC4-5D6E-409C-BE32-E72D297353CC}">
              <c16:uniqueId val="{00000005-4939-42BE-AE84-6B468DD67713}"/>
            </c:ext>
          </c:extLst>
        </c:ser>
        <c:dLbls>
          <c:showLegendKey val="0"/>
          <c:showVal val="0"/>
          <c:showCatName val="0"/>
          <c:showSerName val="0"/>
          <c:showPercent val="0"/>
          <c:showBubbleSize val="0"/>
        </c:dLbls>
        <c:marker val="1"/>
        <c:smooth val="0"/>
        <c:axId val="169458511"/>
        <c:axId val="169473871"/>
      </c:lineChart>
      <c:catAx>
        <c:axId val="1694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92591"/>
        <c:crosses val="autoZero"/>
        <c:auto val="1"/>
        <c:lblAlgn val="ctr"/>
        <c:lblOffset val="100"/>
        <c:noMultiLvlLbl val="0"/>
      </c:catAx>
      <c:valAx>
        <c:axId val="169492591"/>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6831"/>
        <c:crosses val="autoZero"/>
        <c:crossBetween val="between"/>
        <c:majorUnit val="0.2"/>
      </c:valAx>
      <c:valAx>
        <c:axId val="169473871"/>
        <c:scaling>
          <c:orientation val="minMax"/>
        </c:scaling>
        <c:delete val="1"/>
        <c:axPos val="r"/>
        <c:numFmt formatCode="0%" sourceLinked="1"/>
        <c:majorTickMark val="out"/>
        <c:minorTickMark val="none"/>
        <c:tickLblPos val="nextTo"/>
        <c:crossAx val="169458511"/>
        <c:crosses val="max"/>
        <c:crossBetween val="between"/>
      </c:valAx>
      <c:catAx>
        <c:axId val="169458511"/>
        <c:scaling>
          <c:orientation val="minMax"/>
        </c:scaling>
        <c:delete val="1"/>
        <c:axPos val="b"/>
        <c:numFmt formatCode="General" sourceLinked="1"/>
        <c:majorTickMark val="out"/>
        <c:minorTickMark val="none"/>
        <c:tickLblPos val="nextTo"/>
        <c:crossAx val="169473871"/>
        <c:crosses val="autoZero"/>
        <c:auto val="1"/>
        <c:lblAlgn val="ctr"/>
        <c:lblOffset val="100"/>
        <c:noMultiLvlLbl val="0"/>
      </c:cat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882081594798205E-2"/>
          <c:y val="0.14838702139343593"/>
          <c:w val="0.89079174197671696"/>
          <c:h val="0.63178479462291359"/>
        </c:manualLayout>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prst="angle"/>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233403.99999999994</c:v>
                </c:pt>
                <c:pt idx="1">
                  <c:v>142968</c:v>
                </c:pt>
                <c:pt idx="2">
                  <c:v>190026</c:v>
                </c:pt>
                <c:pt idx="3">
                  <c:v>169802</c:v>
                </c:pt>
                <c:pt idx="4">
                  <c:v>188350</c:v>
                </c:pt>
                <c:pt idx="5">
                  <c:v>178272</c:v>
                </c:pt>
                <c:pt idx="6">
                  <c:v>197799.99999999997</c:v>
                </c:pt>
                <c:pt idx="7">
                  <c:v>193200</c:v>
                </c:pt>
                <c:pt idx="8">
                  <c:v>186300</c:v>
                </c:pt>
                <c:pt idx="9">
                  <c:v>177100</c:v>
                </c:pt>
                <c:pt idx="10">
                  <c:v>172500</c:v>
                </c:pt>
                <c:pt idx="11">
                  <c:v>156400</c:v>
                </c:pt>
              </c:numCache>
            </c:numRef>
          </c:val>
          <c:extLst>
            <c:ext xmlns:c16="http://schemas.microsoft.com/office/drawing/2014/chart" uri="{C3380CC4-5D6E-409C-BE32-E72D297353CC}">
              <c16:uniqueId val="{00000000-D6E7-41BB-97DB-D4201A54D914}"/>
            </c:ext>
          </c:extLst>
        </c:ser>
        <c:dLbls>
          <c:showLegendKey val="0"/>
          <c:showVal val="0"/>
          <c:showCatName val="0"/>
          <c:showSerName val="0"/>
          <c:showPercent val="0"/>
          <c:showBubbleSize val="0"/>
        </c:dLbls>
        <c:gapWidth val="50"/>
        <c:overlap val="-27"/>
        <c:axId val="169438351"/>
        <c:axId val="169434511"/>
      </c:barChart>
      <c:lineChart>
        <c:grouping val="standard"/>
        <c:varyColors val="0"/>
        <c:ser>
          <c:idx val="1"/>
          <c:order val="1"/>
          <c:tx>
            <c:strRef>
              <c:f>Calculations!$C$11</c:f>
              <c:strCache>
                <c:ptCount val="1"/>
                <c:pt idx="0">
                  <c:v>Plan</c:v>
                </c:pt>
              </c:strCache>
            </c:strRef>
          </c:tx>
          <c:spPr>
            <a:ln w="28575" cap="rnd">
              <a:solidFill>
                <a:schemeClr val="accent6">
                  <a:lumMod val="60000"/>
                  <a:lumOff val="40000"/>
                </a:schemeClr>
              </a:solidFill>
              <a:round/>
            </a:ln>
            <a:effectLst/>
          </c:spPr>
          <c:marker>
            <c:symbol val="circle"/>
            <c:size val="10"/>
            <c:spPr>
              <a:solidFill>
                <a:srgbClr val="C00000"/>
              </a:solidFill>
              <a:ln w="9525">
                <a:solidFill>
                  <a:srgbClr val="C00000"/>
                </a:solidFill>
              </a:ln>
              <a:effectLst/>
            </c:spPr>
          </c:marker>
          <c:val>
            <c:numRef>
              <c:f>Calculations!$D$11:$O$11</c:f>
              <c:numCache>
                <c:formatCode>_-* #,##0_-;\-* #,##0_-;_-* "-"??_-;_-@_-</c:formatCode>
                <c:ptCount val="12"/>
                <c:pt idx="0">
                  <c:v>227514.62</c:v>
                </c:pt>
                <c:pt idx="1">
                  <c:v>130203</c:v>
                </c:pt>
                <c:pt idx="2">
                  <c:v>159528</c:v>
                </c:pt>
                <c:pt idx="3">
                  <c:v>188725.72</c:v>
                </c:pt>
                <c:pt idx="4">
                  <c:v>113141.59999999999</c:v>
                </c:pt>
                <c:pt idx="5">
                  <c:v>117072.76</c:v>
                </c:pt>
                <c:pt idx="6">
                  <c:v>192809</c:v>
                </c:pt>
                <c:pt idx="7">
                  <c:v>175950</c:v>
                </c:pt>
                <c:pt idx="8">
                  <c:v>156400</c:v>
                </c:pt>
                <c:pt idx="9">
                  <c:v>143106</c:v>
                </c:pt>
                <c:pt idx="10">
                  <c:v>131560</c:v>
                </c:pt>
                <c:pt idx="11">
                  <c:v>119462</c:v>
                </c:pt>
              </c:numCache>
            </c:numRef>
          </c:val>
          <c:smooth val="1"/>
          <c:extLst>
            <c:ext xmlns:c16="http://schemas.microsoft.com/office/drawing/2014/chart" uri="{C3380CC4-5D6E-409C-BE32-E72D297353CC}">
              <c16:uniqueId val="{00000001-D6E7-41BB-97DB-D4201A54D914}"/>
            </c:ext>
          </c:extLst>
        </c:ser>
        <c:dLbls>
          <c:showLegendKey val="0"/>
          <c:showVal val="0"/>
          <c:showCatName val="0"/>
          <c:showSerName val="0"/>
          <c:showPercent val="0"/>
          <c:showBubbleSize val="0"/>
        </c:dLbls>
        <c:marker val="1"/>
        <c:smooth val="0"/>
        <c:axId val="169438351"/>
        <c:axId val="169434511"/>
      </c:lineChart>
      <c:catAx>
        <c:axId val="1694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4511"/>
        <c:crosses val="autoZero"/>
        <c:auto val="1"/>
        <c:lblAlgn val="ctr"/>
        <c:lblOffset val="100"/>
        <c:noMultiLvlLbl val="0"/>
      </c:catAx>
      <c:valAx>
        <c:axId val="169434511"/>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8351"/>
        <c:crosses val="autoZero"/>
        <c:crossBetween val="between"/>
      </c:valAx>
      <c:spPr>
        <a:noFill/>
        <a:ln>
          <a:noFill/>
        </a:ln>
        <a:effectLst/>
      </c:spPr>
    </c:plotArea>
    <c:legend>
      <c:legendPos val="b"/>
      <c:layout>
        <c:manualLayout>
          <c:xMode val="edge"/>
          <c:yMode val="edge"/>
          <c:x val="0.68851640419947513"/>
          <c:y val="3.7615193934091531E-2"/>
          <c:w val="0.31148366644922082"/>
          <c:h val="9.4582660860562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8373858516343E-2"/>
          <c:y val="7.0550495873528268E-2"/>
          <c:w val="0.89012378409543857"/>
          <c:h val="0.67243157308920265"/>
        </c:manualLayout>
      </c:layout>
      <c:barChart>
        <c:barDir val="col"/>
        <c:grouping val="stacked"/>
        <c:varyColors val="0"/>
        <c:ser>
          <c:idx val="0"/>
          <c:order val="0"/>
          <c:tx>
            <c:strRef>
              <c:f>Calculations!$A$16</c:f>
              <c:strCache>
                <c:ptCount val="1"/>
                <c:pt idx="0">
                  <c:v>Termination</c:v>
                </c:pt>
              </c:strCache>
            </c:strRef>
          </c:tx>
          <c:spPr>
            <a:solidFill>
              <a:schemeClr val="accent6"/>
            </a:solidFill>
            <a:ln>
              <a:noFill/>
            </a:ln>
            <a:effectLst/>
            <a:scene3d>
              <a:camera prst="orthographicFront"/>
              <a:lightRig rig="threePt" dir="t"/>
            </a:scene3d>
            <a:sp3d>
              <a:bevelT prst="angle"/>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-4</c:v>
                </c:pt>
                <c:pt idx="1">
                  <c:v>-5</c:v>
                </c:pt>
                <c:pt idx="2">
                  <c:v>-5</c:v>
                </c:pt>
                <c:pt idx="3">
                  <c:v>-3</c:v>
                </c:pt>
                <c:pt idx="4">
                  <c:v>-8</c:v>
                </c:pt>
                <c:pt idx="5">
                  <c:v>-3</c:v>
                </c:pt>
                <c:pt idx="6">
                  <c:v>0</c:v>
                </c:pt>
                <c:pt idx="7">
                  <c:v>-1</c:v>
                </c:pt>
                <c:pt idx="8">
                  <c:v>-3</c:v>
                </c:pt>
                <c:pt idx="9">
                  <c:v>0</c:v>
                </c:pt>
                <c:pt idx="10">
                  <c:v>-4</c:v>
                </c:pt>
                <c:pt idx="11">
                  <c:v>-8</c:v>
                </c:pt>
              </c:numCache>
            </c:numRef>
          </c:val>
          <c:extLst>
            <c:ext xmlns:c16="http://schemas.microsoft.com/office/drawing/2014/chart" uri="{C3380CC4-5D6E-409C-BE32-E72D297353CC}">
              <c16:uniqueId val="{00000000-718C-4107-AE5B-11669974EBB8}"/>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prst="angle"/>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9</c:v>
                </c:pt>
                <c:pt idx="2">
                  <c:v>2</c:v>
                </c:pt>
                <c:pt idx="3">
                  <c:v>3</c:v>
                </c:pt>
                <c:pt idx="4">
                  <c:v>12</c:v>
                </c:pt>
                <c:pt idx="5">
                  <c:v>6</c:v>
                </c:pt>
                <c:pt idx="6">
                  <c:v>9</c:v>
                </c:pt>
                <c:pt idx="7">
                  <c:v>13</c:v>
                </c:pt>
                <c:pt idx="8">
                  <c:v>5</c:v>
                </c:pt>
                <c:pt idx="9">
                  <c:v>5</c:v>
                </c:pt>
                <c:pt idx="10">
                  <c:v>15</c:v>
                </c:pt>
                <c:pt idx="11">
                  <c:v>-2</c:v>
                </c:pt>
              </c:numCache>
            </c:numRef>
          </c:val>
          <c:extLst>
            <c:ext xmlns:c16="http://schemas.microsoft.com/office/drawing/2014/chart" uri="{C3380CC4-5D6E-409C-BE32-E72D297353CC}">
              <c16:uniqueId val="{00000001-718C-4107-AE5B-11669974EBB8}"/>
            </c:ext>
          </c:extLst>
        </c:ser>
        <c:dLbls>
          <c:showLegendKey val="0"/>
          <c:showVal val="0"/>
          <c:showCatName val="0"/>
          <c:showSerName val="0"/>
          <c:showPercent val="0"/>
          <c:showBubbleSize val="0"/>
        </c:dLbls>
        <c:gapWidth val="20"/>
        <c:overlap val="100"/>
        <c:axId val="169439791"/>
        <c:axId val="169426351"/>
      </c:barChart>
      <c:catAx>
        <c:axId val="1694397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26351"/>
        <c:crosses val="autoZero"/>
        <c:auto val="1"/>
        <c:lblAlgn val="ctr"/>
        <c:lblOffset val="100"/>
        <c:noMultiLvlLbl val="0"/>
      </c:catAx>
      <c:valAx>
        <c:axId val="16942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3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37270341207349E-2"/>
          <c:y val="5.0659504614481217E-2"/>
          <c:w val="0.86460192475940512"/>
          <c:h val="0.76436789151356077"/>
        </c:manualLayout>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227469.99999999997</c:v>
                </c:pt>
                <c:pt idx="1">
                  <c:v>225195.29999999996</c:v>
                </c:pt>
                <c:pt idx="2">
                  <c:v>164392.56899999996</c:v>
                </c:pt>
                <c:pt idx="3">
                  <c:v>129870.12950999997</c:v>
                </c:pt>
                <c:pt idx="4">
                  <c:v>193349.49999999997</c:v>
                </c:pt>
                <c:pt idx="5">
                  <c:v>191416.00499999995</c:v>
                </c:pt>
                <c:pt idx="6">
                  <c:v>229744.69999999998</c:v>
                </c:pt>
                <c:pt idx="7">
                  <c:v>162140.61599999995</c:v>
                </c:pt>
                <c:pt idx="8">
                  <c:v>123294.42674999997</c:v>
                </c:pt>
                <c:pt idx="9">
                  <c:v>102597.40231289998</c:v>
                </c:pt>
                <c:pt idx="10">
                  <c:v>145012.12499999997</c:v>
                </c:pt>
                <c:pt idx="11">
                  <c:v>137819.52359999996</c:v>
                </c:pt>
              </c:numCache>
            </c:numRef>
          </c:val>
          <c:smooth val="1"/>
          <c:extLst>
            <c:ext xmlns:c16="http://schemas.microsoft.com/office/drawing/2014/chart" uri="{C3380CC4-5D6E-409C-BE32-E72D297353CC}">
              <c16:uniqueId val="{00000000-14F7-4F0A-AF0E-4EED3A8040EB}"/>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202448.3</c:v>
                </c:pt>
                <c:pt idx="13" formatCode="_-* #,##0_-;\-* #,##0_-;_-* &quot;-&quot;??_-;_-@_-">
                  <c:v>208521.74899999998</c:v>
                </c:pt>
                <c:pt idx="14" formatCode="_-* #,##0_-;\-* #,##0_-;_-* &quot;-&quot;??_-;_-@_-">
                  <c:v>160561.74672999998</c:v>
                </c:pt>
                <c:pt idx="15" formatCode="_-* #,##0_-;\-* #,##0_-;_-* &quot;-&quot;??_-;_-@_-">
                  <c:v>126843.77991669999</c:v>
                </c:pt>
                <c:pt idx="16" formatCode="_-* #,##0_-;\-* #,##0_-;_-* &quot;-&quot;??_-;_-@_-">
                  <c:v>172081.05499999999</c:v>
                </c:pt>
                <c:pt idx="17" formatCode="_-* #,##0_-;\-* #,##0_-;_-* &quot;-&quot;??_-;_-@_-">
                  <c:v>177243.48664999998</c:v>
                </c:pt>
                <c:pt idx="18" formatCode="_-* #,##0_-;\-* #,##0_-;_-* &quot;-&quot;??_-;_-@_-">
                  <c:v>216619.68100000001</c:v>
                </c:pt>
                <c:pt idx="19" formatCode="_-* #,##0_-;\-* #,##0_-;_-* &quot;-&quot;??_-;_-@_-">
                  <c:v>160561.74672999998</c:v>
                </c:pt>
                <c:pt idx="20" formatCode="_-* #,##0_-;\-* #,##0_-;_-* &quot;-&quot;??_-;_-@_-">
                  <c:v>122026.92751479999</c:v>
                </c:pt>
                <c:pt idx="21" formatCode="_-* #,##0_-;\-* #,##0_-;_-* &quot;-&quot;??_-;_-@_-">
                  <c:v>95132.834937524996</c:v>
                </c:pt>
                <c:pt idx="22" formatCode="_-* #,##0_-;\-* #,##0_-;_-* &quot;-&quot;??_-;_-@_-">
                  <c:v>120456.73849999999</c:v>
                </c:pt>
                <c:pt idx="23" formatCode="_-* #,##0_-;\-* #,##0_-;_-* &quot;-&quot;??_-;_-@_-">
                  <c:v>140022.35445349998</c:v>
                </c:pt>
              </c:numCache>
            </c:numRef>
          </c:val>
          <c:smooth val="1"/>
          <c:extLst>
            <c:ext xmlns:c16="http://schemas.microsoft.com/office/drawing/2014/chart" uri="{C3380CC4-5D6E-409C-BE32-E72D297353CC}">
              <c16:uniqueId val="{00000001-14F7-4F0A-AF0E-4EED3A8040EB}"/>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66807.938999999998</c:v>
                </c:pt>
                <c:pt idx="25" formatCode="_-* #,##0_-;\-* #,##0_-;_-* &quot;-&quot;??_-;_-@_-">
                  <c:v>70816.415340000007</c:v>
                </c:pt>
                <c:pt idx="26" formatCode="_-* #,##0_-;\-* #,##0_-;_-* &quot;-&quot;??_-;_-@_-">
                  <c:v>49571.490738</c:v>
                </c:pt>
                <c:pt idx="27" formatCode="_-* #,##0_-;\-* #,##0_-;_-* &quot;-&quot;??_-;_-@_-">
                  <c:v>36187.188238739996</c:v>
                </c:pt>
                <c:pt idx="28" formatCode="_-* #,##0_-;\-* #,##0_-;_-* &quot;-&quot;??_-;_-@_-">
                  <c:v>56786.748149999999</c:v>
                </c:pt>
                <c:pt idx="29" formatCode="_-* #,##0_-;\-* #,##0_-;_-* &quot;-&quot;??_-;_-@_-">
                  <c:v>60193.953039000007</c:v>
                </c:pt>
                <c:pt idx="30" formatCode="_-* #,##0_-;\-* #,##0_-;_-* &quot;-&quot;??_-;_-@_-">
                  <c:v>68144.097779999996</c:v>
                </c:pt>
                <c:pt idx="31" formatCode="_-* #,##0_-;\-* #,##0_-;_-* &quot;-&quot;??_-;_-@_-">
                  <c:v>50987.819044800002</c:v>
                </c:pt>
                <c:pt idx="32" formatCode="_-* #,##0_-;\-* #,##0_-;_-* &quot;-&quot;??_-;_-@_-">
                  <c:v>39657.192590400002</c:v>
                </c:pt>
                <c:pt idx="33" formatCode="_-* #,##0_-;\-* #,##0_-;_-* &quot;-&quot;??_-;_-@_-">
                  <c:v>25331.031767117995</c:v>
                </c:pt>
                <c:pt idx="34" formatCode="_-* #,##0_-;\-* #,##0_-;_-* &quot;-&quot;??_-;_-@_-">
                  <c:v>42022.193631000002</c:v>
                </c:pt>
                <c:pt idx="35" formatCode="_-* #,##0_-;\-* #,##0_-;_-* &quot;-&quot;??_-;_-@_-">
                  <c:v>44543.525248860002</c:v>
                </c:pt>
              </c:numCache>
            </c:numRef>
          </c:val>
          <c:smooth val="1"/>
          <c:extLst>
            <c:ext xmlns:c16="http://schemas.microsoft.com/office/drawing/2014/chart" uri="{C3380CC4-5D6E-409C-BE32-E72D297353CC}">
              <c16:uniqueId val="{00000002-14F7-4F0A-AF0E-4EED3A8040EB}"/>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22046.619870000002</c:v>
                </c:pt>
                <c:pt idx="37" formatCode="_-* #,##0_-;\-* #,##0_-;_-* &quot;-&quot;??_-;_-@_-">
                  <c:v>21605.687472600002</c:v>
                </c:pt>
                <c:pt idx="38" formatCode="_-* #,##0_-;\-* #,##0_-;_-* &quot;-&quot;??_-;_-@_-">
                  <c:v>16420.322479176</c:v>
                </c:pt>
                <c:pt idx="39" formatCode="_-* #,##0_-;\-* #,##0_-;_-* &quot;-&quot;??_-;_-@_-">
                  <c:v>12315.241859382</c:v>
                </c:pt>
                <c:pt idx="40" formatCode="_-* #,##0_-;\-* #,##0_-;_-* &quot;-&quot;??_-;_-@_-">
                  <c:v>18739.626889500003</c:v>
                </c:pt>
                <c:pt idx="41" formatCode="_-* #,##0_-;\-* #,##0_-;_-* &quot;-&quot;??_-;_-@_-">
                  <c:v>18364.83435171</c:v>
                </c:pt>
                <c:pt idx="42" formatCode="_-* #,##0_-;\-* #,##0_-;_-* &quot;-&quot;??_-;_-@_-">
                  <c:v>21605.687472600002</c:v>
                </c:pt>
                <c:pt idx="43" formatCode="_-* #,##0_-;\-* #,##0_-;_-* &quot;-&quot;??_-;_-@_-">
                  <c:v>16420.322479176</c:v>
                </c:pt>
                <c:pt idx="44" formatCode="_-* #,##0_-;\-* #,##0_-;_-* &quot;-&quot;??_-;_-@_-">
                  <c:v>12151.038634590241</c:v>
                </c:pt>
                <c:pt idx="45" formatCode="_-* #,##0_-;\-* #,##0_-;_-* &quot;-&quot;??_-;_-@_-">
                  <c:v>9852.1934875056013</c:v>
                </c:pt>
                <c:pt idx="46" formatCode="_-* #,##0_-;\-* #,##0_-;_-* &quot;-&quot;??_-;_-@_-">
                  <c:v>13492.531360440002</c:v>
                </c:pt>
                <c:pt idx="47" formatCode="_-* #,##0_-;\-* #,##0_-;_-* &quot;-&quot;??_-;_-@_-">
                  <c:v>14324.5707943338</c:v>
                </c:pt>
              </c:numCache>
            </c:numRef>
          </c:val>
          <c:smooth val="1"/>
          <c:extLst>
            <c:ext xmlns:c16="http://schemas.microsoft.com/office/drawing/2014/chart" uri="{C3380CC4-5D6E-409C-BE32-E72D297353CC}">
              <c16:uniqueId val="{00000003-14F7-4F0A-AF0E-4EED3A8040EB}"/>
            </c:ext>
          </c:extLst>
        </c:ser>
        <c:dLbls>
          <c:showLegendKey val="0"/>
          <c:showVal val="0"/>
          <c:showCatName val="0"/>
          <c:showSerName val="0"/>
          <c:showPercent val="0"/>
          <c:showBubbleSize val="0"/>
        </c:dLbls>
        <c:marker val="1"/>
        <c:smooth val="0"/>
        <c:axId val="169444111"/>
        <c:axId val="169442191"/>
      </c:lineChart>
      <c:scatterChart>
        <c:scatterStyle val="lineMarker"/>
        <c:varyColors val="0"/>
        <c:ser>
          <c:idx val="4"/>
          <c:order val="4"/>
          <c:tx>
            <c:strRef>
              <c:f>Calculations!$J$99</c:f>
              <c:strCache>
                <c:ptCount val="1"/>
                <c:pt idx="0">
                  <c:v>Vertical Grid</c:v>
                </c:pt>
              </c:strCache>
            </c:strRef>
          </c:tx>
          <c:spPr>
            <a:ln w="9525" cap="rnd">
              <a:solidFill>
                <a:schemeClr val="bg1">
                  <a:lumMod val="95000"/>
                </a:schemeClr>
              </a:solidFill>
              <a:round/>
            </a:ln>
            <a:effectLst/>
          </c:spPr>
          <c:marker>
            <c:symbol val="none"/>
          </c:marker>
          <c:errBars>
            <c:errDir val="x"/>
            <c:errBarType val="both"/>
            <c:errValType val="fixedVal"/>
            <c:noEndCap val="0"/>
            <c:val val="1"/>
            <c:spPr>
              <a:noFill/>
              <a:ln w="9525" cap="flat" cmpd="sng" algn="ctr">
                <a:solidFill>
                  <a:schemeClr val="bg1"/>
                </a:solidFill>
                <a:round/>
              </a:ln>
              <a:effectLst/>
            </c:spPr>
          </c:errBars>
          <c:xVal>
            <c:numRef>
              <c:f>Calculations!$I$100:$I$102</c:f>
              <c:numCache>
                <c:formatCode>General</c:formatCode>
                <c:ptCount val="3"/>
                <c:pt idx="0">
                  <c:v>12.5</c:v>
                </c:pt>
                <c:pt idx="1">
                  <c:v>24.5</c:v>
                </c:pt>
                <c:pt idx="2">
                  <c:v>36.5</c:v>
                </c:pt>
              </c:numCache>
            </c:numRef>
          </c:xVal>
          <c:yVal>
            <c:numRef>
              <c:f>Calculations!$J$100:$J$102</c:f>
              <c:numCache>
                <c:formatCode>General</c:formatCode>
                <c:ptCount val="3"/>
                <c:pt idx="0">
                  <c:v>0</c:v>
                </c:pt>
                <c:pt idx="1">
                  <c:v>0</c:v>
                </c:pt>
                <c:pt idx="2">
                  <c:v>0</c:v>
                </c:pt>
              </c:numCache>
            </c:numRef>
          </c:yVal>
          <c:smooth val="0"/>
          <c:extLst>
            <c:ext xmlns:c16="http://schemas.microsoft.com/office/drawing/2014/chart" uri="{C3380CC4-5D6E-409C-BE32-E72D297353CC}">
              <c16:uniqueId val="{00000004-14F7-4F0A-AF0E-4EED3A8040EB}"/>
            </c:ext>
          </c:extLst>
        </c:ser>
        <c:dLbls>
          <c:showLegendKey val="0"/>
          <c:showVal val="0"/>
          <c:showCatName val="0"/>
          <c:showSerName val="0"/>
          <c:showPercent val="0"/>
          <c:showBubbleSize val="0"/>
        </c:dLbls>
        <c:axId val="2014028048"/>
        <c:axId val="2014027088"/>
      </c:scatterChart>
      <c:catAx>
        <c:axId val="16944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42191"/>
        <c:crosses val="autoZero"/>
        <c:auto val="1"/>
        <c:lblAlgn val="ctr"/>
        <c:lblOffset val="100"/>
        <c:noMultiLvlLbl val="0"/>
      </c:catAx>
      <c:valAx>
        <c:axId val="169442191"/>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44111"/>
        <c:crosses val="autoZero"/>
        <c:crossBetween val="between"/>
      </c:valAx>
      <c:valAx>
        <c:axId val="2014027088"/>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14028048"/>
        <c:crosses val="max"/>
        <c:crossBetween val="midCat"/>
      </c:valAx>
      <c:valAx>
        <c:axId val="2014028048"/>
        <c:scaling>
          <c:orientation val="minMax"/>
        </c:scaling>
        <c:delete val="1"/>
        <c:axPos val="t"/>
        <c:numFmt formatCode="General" sourceLinked="1"/>
        <c:majorTickMark val="out"/>
        <c:minorTickMark val="none"/>
        <c:tickLblPos val="nextTo"/>
        <c:crossAx val="2014027088"/>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6">
                <a:lumMod val="50000"/>
              </a:schemeClr>
            </a:solidFill>
            <a:ln>
              <a:noFill/>
            </a:ln>
            <a:effectLst/>
            <a:scene3d>
              <a:camera prst="orthographicFront"/>
              <a:lightRig rig="threePt" dir="t"/>
            </a:scene3d>
            <a:sp3d>
              <a:bevelT prst="convex"/>
            </a:sp3d>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41</c:v>
                </c:pt>
                <c:pt idx="1">
                  <c:v>32</c:v>
                </c:pt>
                <c:pt idx="2">
                  <c:v>36</c:v>
                </c:pt>
              </c:numCache>
            </c:numRef>
          </c:val>
          <c:extLst>
            <c:ext xmlns:c16="http://schemas.microsoft.com/office/drawing/2014/chart" uri="{C3380CC4-5D6E-409C-BE32-E72D297353CC}">
              <c16:uniqueId val="{00000000-B0A1-4B24-9D62-E02B4AD71ADB}"/>
            </c:ext>
          </c:extLst>
        </c:ser>
        <c:dLbls>
          <c:showLegendKey val="0"/>
          <c:showVal val="0"/>
          <c:showCatName val="0"/>
          <c:showSerName val="0"/>
          <c:showPercent val="0"/>
          <c:showBubbleSize val="0"/>
        </c:dLbls>
        <c:gapWidth val="20"/>
        <c:overlap val="-27"/>
        <c:axId val="196907407"/>
        <c:axId val="196909327"/>
      </c:barChart>
      <c:catAx>
        <c:axId val="19690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9327"/>
        <c:crosses val="autoZero"/>
        <c:auto val="1"/>
        <c:lblAlgn val="ctr"/>
        <c:lblOffset val="100"/>
        <c:noMultiLvlLbl val="0"/>
      </c:catAx>
      <c:valAx>
        <c:axId val="196909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0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762001</xdr:colOff>
      <xdr:row>44</xdr:row>
      <xdr:rowOff>243418</xdr:rowOff>
    </xdr:from>
    <xdr:to>
      <xdr:col>9</xdr:col>
      <xdr:colOff>677334</xdr:colOff>
      <xdr:row>53</xdr:row>
      <xdr:rowOff>116417</xdr:rowOff>
    </xdr:to>
    <xdr:graphicFrame macro="">
      <xdr:nvGraphicFramePr>
        <xdr:cNvPr id="2" name="Chart 1">
          <a:extLst>
            <a:ext uri="{FF2B5EF4-FFF2-40B4-BE49-F238E27FC236}">
              <a16:creationId xmlns:a16="http://schemas.microsoft.com/office/drawing/2014/main" id="{18EC23DF-3BCC-0122-E0AE-74E07A264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280458</xdr:colOff>
      <xdr:row>19</xdr:row>
      <xdr:rowOff>126998</xdr:rowOff>
    </xdr:from>
    <xdr:to>
      <xdr:col>15</xdr:col>
      <xdr:colOff>243417</xdr:colOff>
      <xdr:row>28</xdr:row>
      <xdr:rowOff>190499</xdr:rowOff>
    </xdr:to>
    <xdr:graphicFrame macro="">
      <xdr:nvGraphicFramePr>
        <xdr:cNvPr id="3" name="Chart 2">
          <a:extLst>
            <a:ext uri="{FF2B5EF4-FFF2-40B4-BE49-F238E27FC236}">
              <a16:creationId xmlns:a16="http://schemas.microsoft.com/office/drawing/2014/main" id="{41096F34-6CB4-C991-B352-2BAB7F70A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804334</xdr:colOff>
      <xdr:row>70</xdr:row>
      <xdr:rowOff>41275</xdr:rowOff>
    </xdr:from>
    <xdr:to>
      <xdr:col>10</xdr:col>
      <xdr:colOff>560917</xdr:colOff>
      <xdr:row>78</xdr:row>
      <xdr:rowOff>179917</xdr:rowOff>
    </xdr:to>
    <xdr:graphicFrame macro="">
      <xdr:nvGraphicFramePr>
        <xdr:cNvPr id="4" name="Chart 3">
          <a:extLst>
            <a:ext uri="{FF2B5EF4-FFF2-40B4-BE49-F238E27FC236}">
              <a16:creationId xmlns:a16="http://schemas.microsoft.com/office/drawing/2014/main" id="{697E2B46-B3F2-9119-9A5E-97DF00665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179917</xdr:colOff>
      <xdr:row>0</xdr:row>
      <xdr:rowOff>201082</xdr:rowOff>
    </xdr:from>
    <xdr:to>
      <xdr:col>21</xdr:col>
      <xdr:colOff>21166</xdr:colOff>
      <xdr:row>11</xdr:row>
      <xdr:rowOff>180973</xdr:rowOff>
    </xdr:to>
    <xdr:graphicFrame macro="">
      <xdr:nvGraphicFramePr>
        <xdr:cNvPr id="5" name="Chart 4">
          <a:extLst>
            <a:ext uri="{FF2B5EF4-FFF2-40B4-BE49-F238E27FC236}">
              <a16:creationId xmlns:a16="http://schemas.microsoft.com/office/drawing/2014/main" id="{40F0BE5D-B158-3472-CBF9-F694187F9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153457</xdr:colOff>
      <xdr:row>11</xdr:row>
      <xdr:rowOff>51859</xdr:rowOff>
    </xdr:from>
    <xdr:to>
      <xdr:col>21</xdr:col>
      <xdr:colOff>10583</xdr:colOff>
      <xdr:row>20</xdr:row>
      <xdr:rowOff>21168</xdr:rowOff>
    </xdr:to>
    <xdr:graphicFrame macro="">
      <xdr:nvGraphicFramePr>
        <xdr:cNvPr id="6" name="Chart 5">
          <a:extLst>
            <a:ext uri="{FF2B5EF4-FFF2-40B4-BE49-F238E27FC236}">
              <a16:creationId xmlns:a16="http://schemas.microsoft.com/office/drawing/2014/main" id="{85A40633-EBD1-C837-139B-0EC7A89FC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751416</xdr:colOff>
      <xdr:row>104</xdr:row>
      <xdr:rowOff>104773</xdr:rowOff>
    </xdr:from>
    <xdr:to>
      <xdr:col>16</xdr:col>
      <xdr:colOff>21166</xdr:colOff>
      <xdr:row>118</xdr:row>
      <xdr:rowOff>180973</xdr:rowOff>
    </xdr:to>
    <xdr:graphicFrame macro="">
      <xdr:nvGraphicFramePr>
        <xdr:cNvPr id="8" name="Chart 7">
          <a:extLst>
            <a:ext uri="{FF2B5EF4-FFF2-40B4-BE49-F238E27FC236}">
              <a16:creationId xmlns:a16="http://schemas.microsoft.com/office/drawing/2014/main" id="{14198E83-D593-A881-4C1A-B9B886BD8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682625</xdr:colOff>
      <xdr:row>55</xdr:row>
      <xdr:rowOff>189440</xdr:rowOff>
    </xdr:from>
    <xdr:to>
      <xdr:col>10</xdr:col>
      <xdr:colOff>539750</xdr:colOff>
      <xdr:row>67</xdr:row>
      <xdr:rowOff>10584</xdr:rowOff>
    </xdr:to>
    <xdr:graphicFrame macro="">
      <xdr:nvGraphicFramePr>
        <xdr:cNvPr id="9" name="Chart 8">
          <a:extLst>
            <a:ext uri="{FF2B5EF4-FFF2-40B4-BE49-F238E27FC236}">
              <a16:creationId xmlns:a16="http://schemas.microsoft.com/office/drawing/2014/main" id="{E98C8309-B616-351C-238A-58B109125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9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0</xdr:colOff>
      <xdr:row>0</xdr:row>
      <xdr:rowOff>0</xdr:rowOff>
    </xdr:from>
    <xdr:to>
      <xdr:col>20</xdr:col>
      <xdr:colOff>158750</xdr:colOff>
      <xdr:row>3</xdr:row>
      <xdr:rowOff>85725</xdr:rowOff>
    </xdr:to>
    <xdr:sp macro="" textlink="">
      <xdr:nvSpPr>
        <xdr:cNvPr id="5" name="Flowchart: Document 4">
          <a:extLst>
            <a:ext uri="{FF2B5EF4-FFF2-40B4-BE49-F238E27FC236}">
              <a16:creationId xmlns:a16="http://schemas.microsoft.com/office/drawing/2014/main" id="{00000000-0008-0000-0900-000005000000}"/>
            </a:ext>
          </a:extLst>
        </xdr:cNvPr>
        <xdr:cNvSpPr/>
      </xdr:nvSpPr>
      <xdr:spPr>
        <a:xfrm>
          <a:off x="0" y="0"/>
          <a:ext cx="13811250" cy="657225"/>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9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9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9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9</xdr:col>
      <xdr:colOff>528110</xdr:colOff>
      <xdr:row>13</xdr:row>
      <xdr:rowOff>28575</xdr:rowOff>
    </xdr:from>
    <xdr:to>
      <xdr:col>12</xdr:col>
      <xdr:colOff>166159</xdr:colOff>
      <xdr:row>14</xdr:row>
      <xdr:rowOff>142875</xdr:rowOff>
    </xdr:to>
    <xdr:sp macro="" textlink="">
      <xdr:nvSpPr>
        <xdr:cNvPr id="9" name="TextBox 8">
          <a:extLst>
            <a:ext uri="{FF2B5EF4-FFF2-40B4-BE49-F238E27FC236}">
              <a16:creationId xmlns:a16="http://schemas.microsoft.com/office/drawing/2014/main" id="{00000000-0008-0000-0900-000009000000}"/>
            </a:ext>
          </a:extLst>
        </xdr:cNvPr>
        <xdr:cNvSpPr txBox="1"/>
      </xdr:nvSpPr>
      <xdr:spPr>
        <a:xfrm>
          <a:off x="5798610" y="2367492"/>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8</xdr:col>
      <xdr:colOff>574674</xdr:colOff>
      <xdr:row>25</xdr:row>
      <xdr:rowOff>117475</xdr:rowOff>
    </xdr:from>
    <xdr:to>
      <xdr:col>12</xdr:col>
      <xdr:colOff>631823</xdr:colOff>
      <xdr:row>27</xdr:row>
      <xdr:rowOff>127000</xdr:rowOff>
    </xdr:to>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5083174" y="4742392"/>
          <a:ext cx="31051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 for the Current Year</a:t>
          </a:r>
        </a:p>
      </xdr:txBody>
    </xdr:sp>
    <xdr:clientData/>
  </xdr:twoCellAnchor>
  <xdr:twoCellAnchor>
    <xdr:from>
      <xdr:col>15</xdr:col>
      <xdr:colOff>597959</xdr:colOff>
      <xdr:row>13</xdr:row>
      <xdr:rowOff>27516</xdr:rowOff>
    </xdr:from>
    <xdr:to>
      <xdr:col>19</xdr:col>
      <xdr:colOff>207433</xdr:colOff>
      <xdr:row>15</xdr:row>
      <xdr:rowOff>37041</xdr:rowOff>
    </xdr:to>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10440459" y="236643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15</xdr:col>
      <xdr:colOff>711200</xdr:colOff>
      <xdr:row>25</xdr:row>
      <xdr:rowOff>96309</xdr:rowOff>
    </xdr:from>
    <xdr:to>
      <xdr:col>20</xdr:col>
      <xdr:colOff>168275</xdr:colOff>
      <xdr:row>27</xdr:row>
      <xdr:rowOff>48684</xdr:rowOff>
    </xdr:to>
    <xdr:sp macro="" textlink="">
      <xdr:nvSpPr>
        <xdr:cNvPr id="14" name="TextBox 13">
          <a:extLst>
            <a:ext uri="{FF2B5EF4-FFF2-40B4-BE49-F238E27FC236}">
              <a16:creationId xmlns:a16="http://schemas.microsoft.com/office/drawing/2014/main" id="{00000000-0008-0000-0900-00000E000000}"/>
            </a:ext>
          </a:extLst>
        </xdr:cNvPr>
        <xdr:cNvSpPr txBox="1"/>
      </xdr:nvSpPr>
      <xdr:spPr>
        <a:xfrm>
          <a:off x="10553700" y="4721226"/>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9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9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8</xdr:col>
      <xdr:colOff>394758</xdr:colOff>
      <xdr:row>39</xdr:row>
      <xdr:rowOff>29633</xdr:rowOff>
    </xdr:from>
    <xdr:to>
      <xdr:col>13</xdr:col>
      <xdr:colOff>109007</xdr:colOff>
      <xdr:row>40</xdr:row>
      <xdr:rowOff>143933</xdr:rowOff>
    </xdr:to>
    <xdr:sp macro="" textlink="">
      <xdr:nvSpPr>
        <xdr:cNvPr id="25" name="TextBox 24">
          <a:extLst>
            <a:ext uri="{FF2B5EF4-FFF2-40B4-BE49-F238E27FC236}">
              <a16:creationId xmlns:a16="http://schemas.microsoft.com/office/drawing/2014/main" id="{00000000-0008-0000-0900-000019000000}"/>
            </a:ext>
          </a:extLst>
        </xdr:cNvPr>
        <xdr:cNvSpPr txBox="1"/>
      </xdr:nvSpPr>
      <xdr:spPr>
        <a:xfrm>
          <a:off x="4903258" y="7321550"/>
          <a:ext cx="35242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9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14</xdr:col>
      <xdr:colOff>295275</xdr:colOff>
      <xdr:row>57</xdr:row>
      <xdr:rowOff>38100</xdr:rowOff>
    </xdr:from>
    <xdr:to>
      <xdr:col>18</xdr:col>
      <xdr:colOff>523875</xdr:colOff>
      <xdr:row>59</xdr:row>
      <xdr:rowOff>47625</xdr:rowOff>
    </xdr:to>
    <xdr:sp macro="" textlink="">
      <xdr:nvSpPr>
        <xdr:cNvPr id="33" name="TextBox 32">
          <a:extLst>
            <a:ext uri="{FF2B5EF4-FFF2-40B4-BE49-F238E27FC236}">
              <a16:creationId xmlns:a16="http://schemas.microsoft.com/office/drawing/2014/main" id="{00000000-0008-0000-0900-000021000000}"/>
            </a:ext>
          </a:extLst>
        </xdr:cNvPr>
        <xdr:cNvSpPr txBox="1"/>
      </xdr:nvSpPr>
      <xdr:spPr>
        <a:xfrm>
          <a:off x="9448800" y="9382125"/>
          <a:ext cx="32766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Trend</a:t>
          </a:r>
          <a:endParaRPr lang="en-AU" sz="1400">
            <a:solidFill>
              <a:schemeClr val="bg1"/>
            </a:solidFill>
          </a:endParaRPr>
        </a:p>
      </xdr:txBody>
    </xdr:sp>
    <xdr:clientData/>
  </xdr:twoCellAnchor>
  <xdr:twoCellAnchor>
    <xdr:from>
      <xdr:col>1</xdr:col>
      <xdr:colOff>744008</xdr:colOff>
      <xdr:row>25</xdr:row>
      <xdr:rowOff>117476</xdr:rowOff>
    </xdr:from>
    <xdr:to>
      <xdr:col>5</xdr:col>
      <xdr:colOff>96308</xdr:colOff>
      <xdr:row>27</xdr:row>
      <xdr:rowOff>79376</xdr:rowOff>
    </xdr:to>
    <xdr:sp macro="" textlink="">
      <xdr:nvSpPr>
        <xdr:cNvPr id="39" name="TextBox 38">
          <a:extLst>
            <a:ext uri="{FF2B5EF4-FFF2-40B4-BE49-F238E27FC236}">
              <a16:creationId xmlns:a16="http://schemas.microsoft.com/office/drawing/2014/main" id="{00000000-0008-0000-0900-000027000000}"/>
            </a:ext>
          </a:extLst>
        </xdr:cNvPr>
        <xdr:cNvSpPr txBox="1"/>
      </xdr:nvSpPr>
      <xdr:spPr>
        <a:xfrm>
          <a:off x="987425" y="4742393"/>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683684</xdr:colOff>
      <xdr:row>39</xdr:row>
      <xdr:rowOff>30692</xdr:rowOff>
    </xdr:from>
    <xdr:to>
      <xdr:col>5</xdr:col>
      <xdr:colOff>55034</xdr:colOff>
      <xdr:row>40</xdr:row>
      <xdr:rowOff>154517</xdr:rowOff>
    </xdr:to>
    <xdr:sp macro="" textlink="">
      <xdr:nvSpPr>
        <xdr:cNvPr id="40" name="TextBox 39">
          <a:extLst>
            <a:ext uri="{FF2B5EF4-FFF2-40B4-BE49-F238E27FC236}">
              <a16:creationId xmlns:a16="http://schemas.microsoft.com/office/drawing/2014/main" id="{00000000-0008-0000-0900-000028000000}"/>
            </a:ext>
          </a:extLst>
        </xdr:cNvPr>
        <xdr:cNvSpPr txBox="1"/>
      </xdr:nvSpPr>
      <xdr:spPr>
        <a:xfrm>
          <a:off x="927101" y="7322609"/>
          <a:ext cx="1858433"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9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9DDF7426-3B07-1745-3C77-37F4155FE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16</xdr:col>
      <xdr:colOff>571499</xdr:colOff>
      <xdr:row>27</xdr:row>
      <xdr:rowOff>127001</xdr:rowOff>
    </xdr:from>
    <xdr:to>
      <xdr:col>17</xdr:col>
      <xdr:colOff>529166</xdr:colOff>
      <xdr:row>31</xdr:row>
      <xdr:rowOff>84668</xdr:rowOff>
    </xdr:to>
    <xdr:pic>
      <xdr:nvPicPr>
        <xdr:cNvPr id="48" name="Picture 47">
          <a:extLst>
            <a:ext uri="{FF2B5EF4-FFF2-40B4-BE49-F238E27FC236}">
              <a16:creationId xmlns:a16="http://schemas.microsoft.com/office/drawing/2014/main" id="{E627905A-BBC2-9EF5-F96A-79F4C22690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175999" y="5132918"/>
          <a:ext cx="719667" cy="719667"/>
        </a:xfrm>
        <a:prstGeom prst="rect">
          <a:avLst/>
        </a:prstGeom>
      </xdr:spPr>
    </xdr:pic>
    <xdr:clientData/>
  </xdr:twoCellAnchor>
  <xdr:twoCellAnchor editAs="oneCell">
    <xdr:from>
      <xdr:col>15</xdr:col>
      <xdr:colOff>12416</xdr:colOff>
      <xdr:row>27</xdr:row>
      <xdr:rowOff>118248</xdr:rowOff>
    </xdr:from>
    <xdr:to>
      <xdr:col>15</xdr:col>
      <xdr:colOff>740833</xdr:colOff>
      <xdr:row>31</xdr:row>
      <xdr:rowOff>84665</xdr:rowOff>
    </xdr:to>
    <xdr:pic>
      <xdr:nvPicPr>
        <xdr:cNvPr id="50" name="Picture 49">
          <a:extLst>
            <a:ext uri="{FF2B5EF4-FFF2-40B4-BE49-F238E27FC236}">
              <a16:creationId xmlns:a16="http://schemas.microsoft.com/office/drawing/2014/main" id="{77632543-D635-17CB-2603-614F2482CF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54916" y="5124165"/>
          <a:ext cx="728417" cy="728417"/>
        </a:xfrm>
        <a:prstGeom prst="rect">
          <a:avLst/>
        </a:prstGeom>
      </xdr:spPr>
    </xdr:pic>
    <xdr:clientData/>
  </xdr:twoCellAnchor>
  <xdr:twoCellAnchor editAs="oneCell">
    <xdr:from>
      <xdr:col>18</xdr:col>
      <xdr:colOff>395251</xdr:colOff>
      <xdr:row>27</xdr:row>
      <xdr:rowOff>141249</xdr:rowOff>
    </xdr:from>
    <xdr:to>
      <xdr:col>19</xdr:col>
      <xdr:colOff>328084</xdr:colOff>
      <xdr:row>31</xdr:row>
      <xdr:rowOff>74082</xdr:rowOff>
    </xdr:to>
    <xdr:pic>
      <xdr:nvPicPr>
        <xdr:cNvPr id="52" name="Picture 51">
          <a:extLst>
            <a:ext uri="{FF2B5EF4-FFF2-40B4-BE49-F238E27FC236}">
              <a16:creationId xmlns:a16="http://schemas.microsoft.com/office/drawing/2014/main" id="{6617214B-CC7C-52DA-3A66-E5715BC6BE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523751" y="5147166"/>
          <a:ext cx="694833" cy="694833"/>
        </a:xfrm>
        <a:prstGeom prst="rect">
          <a:avLst/>
        </a:prstGeom>
      </xdr:spPr>
    </xdr:pic>
    <xdr:clientData/>
  </xdr:twoCellAnchor>
  <xdr:twoCellAnchor>
    <xdr:from>
      <xdr:col>1</xdr:col>
      <xdr:colOff>42333</xdr:colOff>
      <xdr:row>27</xdr:row>
      <xdr:rowOff>74083</xdr:rowOff>
    </xdr:from>
    <xdr:to>
      <xdr:col>6</xdr:col>
      <xdr:colOff>222250</xdr:colOff>
      <xdr:row>39</xdr:row>
      <xdr:rowOff>63499</xdr:rowOff>
    </xdr:to>
    <xdr:graphicFrame macro="">
      <xdr:nvGraphicFramePr>
        <xdr:cNvPr id="2" name="Chart 1">
          <a:extLst>
            <a:ext uri="{FF2B5EF4-FFF2-40B4-BE49-F238E27FC236}">
              <a16:creationId xmlns:a16="http://schemas.microsoft.com/office/drawing/2014/main" id="{60368D0B-6A1B-4349-9111-614328E18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0</xdr:colOff>
      <xdr:row>0</xdr:row>
      <xdr:rowOff>63499</xdr:rowOff>
    </xdr:from>
    <xdr:to>
      <xdr:col>20</xdr:col>
      <xdr:colOff>35983</xdr:colOff>
      <xdr:row>2</xdr:row>
      <xdr:rowOff>98423</xdr:rowOff>
    </xdr:to>
    <mc:AlternateContent xmlns:mc="http://schemas.openxmlformats.org/markup-compatibility/2006" xmlns:a14="http://schemas.microsoft.com/office/drawing/2010/main">
      <mc:Choice Requires="a14">
        <xdr:graphicFrame macro="">
          <xdr:nvGraphicFramePr>
            <xdr:cNvPr id="13" name="State Abbr">
              <a:extLst>
                <a:ext uri="{FF2B5EF4-FFF2-40B4-BE49-F238E27FC236}">
                  <a16:creationId xmlns:a16="http://schemas.microsoft.com/office/drawing/2014/main" id="{D7ECCCC9-CE58-45AA-AC55-B1FCD3D59DCC}"/>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080500" y="63499"/>
              <a:ext cx="4607983" cy="41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179918</xdr:colOff>
      <xdr:row>3</xdr:row>
      <xdr:rowOff>21167</xdr:rowOff>
    </xdr:from>
    <xdr:to>
      <xdr:col>13</xdr:col>
      <xdr:colOff>635000</xdr:colOff>
      <xdr:row>12</xdr:row>
      <xdr:rowOff>105833</xdr:rowOff>
    </xdr:to>
    <xdr:graphicFrame macro="">
      <xdr:nvGraphicFramePr>
        <xdr:cNvPr id="15" name="Chart 14">
          <a:extLst>
            <a:ext uri="{FF2B5EF4-FFF2-40B4-BE49-F238E27FC236}">
              <a16:creationId xmlns:a16="http://schemas.microsoft.com/office/drawing/2014/main" id="{713E7289-C8A1-4829-A0C0-EEBAE29B7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158749</xdr:colOff>
      <xdr:row>3</xdr:row>
      <xdr:rowOff>116417</xdr:rowOff>
    </xdr:from>
    <xdr:to>
      <xdr:col>19</xdr:col>
      <xdr:colOff>719666</xdr:colOff>
      <xdr:row>12</xdr:row>
      <xdr:rowOff>52917</xdr:rowOff>
    </xdr:to>
    <xdr:graphicFrame macro="">
      <xdr:nvGraphicFramePr>
        <xdr:cNvPr id="17" name="Chart 16">
          <a:extLst>
            <a:ext uri="{FF2B5EF4-FFF2-40B4-BE49-F238E27FC236}">
              <a16:creationId xmlns:a16="http://schemas.microsoft.com/office/drawing/2014/main" id="{993F166E-C73B-48FF-AEE6-24FA085AD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15</xdr:row>
      <xdr:rowOff>0</xdr:rowOff>
    </xdr:from>
    <xdr:to>
      <xdr:col>6</xdr:col>
      <xdr:colOff>179916</xdr:colOff>
      <xdr:row>25</xdr:row>
      <xdr:rowOff>21166</xdr:rowOff>
    </xdr:to>
    <xdr:graphicFrame macro="">
      <xdr:nvGraphicFramePr>
        <xdr:cNvPr id="18" name="Chart 17">
          <a:extLst>
            <a:ext uri="{FF2B5EF4-FFF2-40B4-BE49-F238E27FC236}">
              <a16:creationId xmlns:a16="http://schemas.microsoft.com/office/drawing/2014/main" id="{30B1146B-295F-41A6-BB3C-B035848B6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137583</xdr:colOff>
      <xdr:row>14</xdr:row>
      <xdr:rowOff>190499</xdr:rowOff>
    </xdr:from>
    <xdr:to>
      <xdr:col>13</xdr:col>
      <xdr:colOff>497417</xdr:colOff>
      <xdr:row>25</xdr:row>
      <xdr:rowOff>63500</xdr:rowOff>
    </xdr:to>
    <xdr:graphicFrame macro="">
      <xdr:nvGraphicFramePr>
        <xdr:cNvPr id="19" name="Chart 18">
          <a:extLst>
            <a:ext uri="{FF2B5EF4-FFF2-40B4-BE49-F238E27FC236}">
              <a16:creationId xmlns:a16="http://schemas.microsoft.com/office/drawing/2014/main" id="{3CEE6EFF-5CCE-4F63-9C41-9981829A6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561975</xdr:colOff>
          <xdr:row>15</xdr:row>
          <xdr:rowOff>38100</xdr:rowOff>
        </xdr:from>
        <xdr:to>
          <xdr:col>8</xdr:col>
          <xdr:colOff>542925</xdr:colOff>
          <xdr:row>16</xdr:row>
          <xdr:rowOff>57150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7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419100</xdr:colOff>
          <xdr:row>15</xdr:row>
          <xdr:rowOff>38100</xdr:rowOff>
        </xdr:from>
        <xdr:to>
          <xdr:col>9</xdr:col>
          <xdr:colOff>266700</xdr:colOff>
          <xdr:row>16</xdr:row>
          <xdr:rowOff>66675</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7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266700</xdr:colOff>
          <xdr:row>15</xdr:row>
          <xdr:rowOff>38100</xdr:rowOff>
        </xdr:from>
        <xdr:to>
          <xdr:col>10</xdr:col>
          <xdr:colOff>123825</xdr:colOff>
          <xdr:row>16</xdr:row>
          <xdr:rowOff>66675</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7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EBIT</a:t>
              </a:r>
            </a:p>
          </xdr:txBody>
        </xdr:sp>
        <xdr:clientData/>
      </xdr:twoCellAnchor>
    </mc:Choice>
    <mc:Fallback/>
  </mc:AlternateContent>
  <xdr:twoCellAnchor>
    <xdr:from>
      <xdr:col>14</xdr:col>
      <xdr:colOff>137583</xdr:colOff>
      <xdr:row>15</xdr:row>
      <xdr:rowOff>0</xdr:rowOff>
    </xdr:from>
    <xdr:to>
      <xdr:col>19</xdr:col>
      <xdr:colOff>687917</xdr:colOff>
      <xdr:row>25</xdr:row>
      <xdr:rowOff>75142</xdr:rowOff>
    </xdr:to>
    <xdr:graphicFrame macro="">
      <xdr:nvGraphicFramePr>
        <xdr:cNvPr id="20" name="Chart 19">
          <a:extLst>
            <a:ext uri="{FF2B5EF4-FFF2-40B4-BE49-F238E27FC236}">
              <a16:creationId xmlns:a16="http://schemas.microsoft.com/office/drawing/2014/main" id="{76BC162F-DA47-4979-990A-B2E392613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137583</xdr:colOff>
      <xdr:row>27</xdr:row>
      <xdr:rowOff>52916</xdr:rowOff>
    </xdr:from>
    <xdr:to>
      <xdr:col>13</xdr:col>
      <xdr:colOff>571499</xdr:colOff>
      <xdr:row>38</xdr:row>
      <xdr:rowOff>137583</xdr:rowOff>
    </xdr:to>
    <xdr:graphicFrame macro="">
      <xdr:nvGraphicFramePr>
        <xdr:cNvPr id="22" name="Chart 21">
          <a:extLst>
            <a:ext uri="{FF2B5EF4-FFF2-40B4-BE49-F238E27FC236}">
              <a16:creationId xmlns:a16="http://schemas.microsoft.com/office/drawing/2014/main" id="{9F5B4A89-A20A-4E83-957B-15578332D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63501</xdr:colOff>
      <xdr:row>31</xdr:row>
      <xdr:rowOff>137584</xdr:rowOff>
    </xdr:from>
    <xdr:to>
      <xdr:col>19</xdr:col>
      <xdr:colOff>730251</xdr:colOff>
      <xdr:row>38</xdr:row>
      <xdr:rowOff>169334</xdr:rowOff>
    </xdr:to>
    <xdr:graphicFrame macro="">
      <xdr:nvGraphicFramePr>
        <xdr:cNvPr id="23" name="Chart 22">
          <a:extLst>
            <a:ext uri="{FF2B5EF4-FFF2-40B4-BE49-F238E27FC236}">
              <a16:creationId xmlns:a16="http://schemas.microsoft.com/office/drawing/2014/main" id="{92287A29-5E33-4015-8A12-B84D4C7FF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efreshedDate="46034.796073263889" createdVersion="8" refreshedVersion="8" minRefreshableVersion="3" recordCount="8" xr:uid="{0C4D63F7-B7C2-4848-9889-BC32C928286E}">
  <cacheSource type="worksheet">
    <worksheetSource ref="R1:R9" sheet="CurrentYearData"/>
  </cacheSource>
  <cacheFields count="1">
    <cacheField name="State Abbr" numFmtId="0">
      <sharedItems count="8">
        <s v="NY"/>
        <s v="VA"/>
        <s v="FL"/>
        <s v="MI"/>
        <s v="TX"/>
        <s v="KS"/>
        <s v="CO"/>
        <s v="WA"/>
      </sharedItems>
    </cacheField>
  </cacheFields>
  <extLst>
    <ext xmlns:x14="http://schemas.microsoft.com/office/spreadsheetml/2009/9/main" uri="{725AE2AE-9491-48be-B2B4-4EB974FC3084}">
      <x14:pivotCacheDefinition pivotCacheId="1121657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4BC63-AFC0-4CF5-BBFF-2D37C6C0ABE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9">
        <item h="1" x="6"/>
        <item h="1" x="2"/>
        <item h="1" x="5"/>
        <item h="1" x="3"/>
        <item h="1" x="0"/>
        <item h="1" x="4"/>
        <item h="1" x="1"/>
        <item x="7"/>
        <item t="default"/>
      </items>
    </pivotField>
  </pivotFields>
  <rowFields count="1">
    <field x="0"/>
  </rowFields>
  <rowItems count="1">
    <i>
      <x v="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31EB7956-EDB7-4A80-BF2B-6F31353DEA97}" sourceName="State Abbr">
  <pivotTables>
    <pivotTable tabId="5" name="PivotTable1"/>
  </pivotTables>
  <data>
    <tabular pivotCacheId="1121657424">
      <items count="8">
        <i x="6"/>
        <i x="2"/>
        <i x="5"/>
        <i x="3"/>
        <i x="0"/>
        <i x="4"/>
        <i x="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6F12DF88-F8B7-4BBC-8EFF-5BAF4A236B3C}" cache="Slicer_State_Abbr" caption="State Abbr" columnCount="8" showCaption="0" style="SlicerStyleLight6" rowHeight="225425"/>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filterMode="1">
    <tabColor theme="4" tint="-0.499984740745262"/>
  </sheetPr>
  <dimension ref="A1:U66"/>
  <sheetViews>
    <sheetView zoomScale="90" zoomScaleNormal="90" workbookViewId="0">
      <selection activeCell="S31" sqref="S31"/>
    </sheetView>
  </sheetViews>
  <sheetFormatPr defaultRowHeight="15" x14ac:dyDescent="0.25"/>
  <cols>
    <col min="1" max="3" width="9.140625" style="6"/>
    <col min="4" max="4" width="13" style="6" customWidth="1"/>
    <col min="5" max="7" width="11.140625" style="6" bestFit="1" customWidth="1"/>
    <col min="8" max="9" width="10.5703125" style="6" customWidth="1"/>
    <col min="10" max="15" width="11.140625" style="6" bestFit="1" customWidth="1"/>
    <col min="16" max="16" width="9.140625" style="6"/>
    <col min="17" max="17" width="14.5703125" style="6" customWidth="1"/>
    <col min="18" max="18" width="13.7109375" style="6" customWidth="1"/>
    <col min="19" max="19" width="14.140625" style="6" bestFit="1" customWidth="1"/>
    <col min="20" max="16384" width="9.140625" style="6"/>
  </cols>
  <sheetData>
    <row r="1" spans="1:21" x14ac:dyDescent="0.25">
      <c r="A1" s="28" t="s">
        <v>3</v>
      </c>
      <c r="B1" s="14" t="s">
        <v>12</v>
      </c>
      <c r="C1" s="14" t="s">
        <v>5</v>
      </c>
      <c r="D1" s="4">
        <v>44562</v>
      </c>
      <c r="E1" s="4">
        <v>44593</v>
      </c>
      <c r="F1" s="4">
        <v>44621</v>
      </c>
      <c r="G1" s="4">
        <v>44652</v>
      </c>
      <c r="H1" s="4">
        <v>44682</v>
      </c>
      <c r="I1" s="4">
        <v>44713</v>
      </c>
      <c r="J1" s="4">
        <v>44743</v>
      </c>
      <c r="K1" s="4">
        <v>44774</v>
      </c>
      <c r="L1" s="4">
        <v>44805</v>
      </c>
      <c r="M1" s="4">
        <v>44835</v>
      </c>
      <c r="N1" s="4">
        <v>44866</v>
      </c>
      <c r="O1" s="4">
        <v>44896</v>
      </c>
      <c r="Q1" s="28" t="s">
        <v>63</v>
      </c>
      <c r="R1" s="28" t="s">
        <v>64</v>
      </c>
      <c r="S1" s="58" t="s">
        <v>93</v>
      </c>
      <c r="T1"/>
      <c r="U1"/>
    </row>
    <row r="2" spans="1:21" x14ac:dyDescent="0.25">
      <c r="A2" s="6" t="s">
        <v>0</v>
      </c>
      <c r="B2" s="12" t="s">
        <v>13</v>
      </c>
      <c r="C2" s="7" t="s">
        <v>70</v>
      </c>
      <c r="D2" s="5">
        <v>753066</v>
      </c>
      <c r="E2" s="5">
        <v>852656.00000000012</v>
      </c>
      <c r="F2" s="5">
        <v>618949</v>
      </c>
      <c r="G2" s="5">
        <v>721280</v>
      </c>
      <c r="H2" s="5">
        <v>515660</v>
      </c>
      <c r="I2" s="5">
        <v>429226</v>
      </c>
      <c r="J2" s="5">
        <v>703800</v>
      </c>
      <c r="K2" s="5">
        <v>761300</v>
      </c>
      <c r="L2" s="5">
        <v>752100</v>
      </c>
      <c r="M2" s="5">
        <v>736000</v>
      </c>
      <c r="N2" s="5">
        <v>678500</v>
      </c>
      <c r="O2" s="5">
        <v>692300</v>
      </c>
      <c r="Q2" s="6" t="s">
        <v>55</v>
      </c>
      <c r="R2" s="6" t="s">
        <v>65</v>
      </c>
      <c r="S2" s="59" t="s">
        <v>97</v>
      </c>
      <c r="T2"/>
      <c r="U2"/>
    </row>
    <row r="3" spans="1:21" x14ac:dyDescent="0.25">
      <c r="A3" s="6" t="s">
        <v>0</v>
      </c>
      <c r="B3" s="12" t="s">
        <v>13</v>
      </c>
      <c r="C3" s="7" t="s">
        <v>71</v>
      </c>
      <c r="D3" s="5">
        <v>359053</v>
      </c>
      <c r="E3" s="5">
        <v>626773</v>
      </c>
      <c r="F3" s="5">
        <v>394933</v>
      </c>
      <c r="G3" s="5">
        <v>442792</v>
      </c>
      <c r="H3" s="5">
        <v>424350</v>
      </c>
      <c r="I3" s="5">
        <v>516810</v>
      </c>
      <c r="J3" s="5">
        <v>535900</v>
      </c>
      <c r="K3" s="5">
        <v>526700</v>
      </c>
      <c r="L3" s="5">
        <v>512900</v>
      </c>
      <c r="M3" s="5">
        <v>496800</v>
      </c>
      <c r="N3" s="5">
        <v>517500</v>
      </c>
      <c r="O3" s="5">
        <v>492200</v>
      </c>
      <c r="Q3" s="6" t="s">
        <v>56</v>
      </c>
      <c r="R3" s="6" t="s">
        <v>66</v>
      </c>
      <c r="S3"/>
      <c r="T3"/>
      <c r="U3"/>
    </row>
    <row r="4" spans="1:21" x14ac:dyDescent="0.25">
      <c r="A4" s="6" t="s">
        <v>0</v>
      </c>
      <c r="B4" s="12" t="s">
        <v>13</v>
      </c>
      <c r="C4" s="7" t="s">
        <v>68</v>
      </c>
      <c r="D4" s="5">
        <v>357420</v>
      </c>
      <c r="E4" s="5">
        <v>295573</v>
      </c>
      <c r="F4" s="5">
        <v>368368</v>
      </c>
      <c r="G4" s="5">
        <v>331890</v>
      </c>
      <c r="H4" s="5">
        <v>306544</v>
      </c>
      <c r="I4" s="5">
        <v>327060</v>
      </c>
      <c r="J4" s="5">
        <v>425500</v>
      </c>
      <c r="K4" s="5">
        <v>416300</v>
      </c>
      <c r="L4" s="5">
        <v>404800</v>
      </c>
      <c r="M4" s="5">
        <v>425500</v>
      </c>
      <c r="N4" s="5">
        <v>450800</v>
      </c>
      <c r="O4" s="5">
        <v>414000</v>
      </c>
      <c r="Q4" s="6" t="s">
        <v>57</v>
      </c>
      <c r="R4" s="6" t="s">
        <v>69</v>
      </c>
      <c r="S4"/>
      <c r="T4"/>
      <c r="U4"/>
    </row>
    <row r="5" spans="1:21" x14ac:dyDescent="0.25">
      <c r="A5" s="6" t="s">
        <v>0</v>
      </c>
      <c r="B5" s="12" t="s">
        <v>13</v>
      </c>
      <c r="C5" s="7" t="s">
        <v>66</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58</v>
      </c>
      <c r="R5" s="6" t="s">
        <v>70</v>
      </c>
      <c r="S5"/>
      <c r="T5"/>
      <c r="U5"/>
    </row>
    <row r="6" spans="1:21" x14ac:dyDescent="0.25">
      <c r="A6" s="6" t="s">
        <v>0</v>
      </c>
      <c r="B6" s="12" t="s">
        <v>13</v>
      </c>
      <c r="C6" s="7" t="s">
        <v>67</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59</v>
      </c>
      <c r="R6" s="6" t="s">
        <v>71</v>
      </c>
      <c r="S6"/>
      <c r="T6"/>
      <c r="U6"/>
    </row>
    <row r="7" spans="1:21" x14ac:dyDescent="0.25">
      <c r="A7" s="6" t="s">
        <v>0</v>
      </c>
      <c r="B7" s="12" t="s">
        <v>13</v>
      </c>
      <c r="C7" s="7" t="s">
        <v>69</v>
      </c>
      <c r="D7" s="5">
        <v>816546</v>
      </c>
      <c r="E7" s="5">
        <v>679558</v>
      </c>
      <c r="F7" s="5">
        <v>966276.00000000012</v>
      </c>
      <c r="G7" s="5">
        <v>610650</v>
      </c>
      <c r="H7" s="5">
        <v>684614</v>
      </c>
      <c r="I7" s="5">
        <v>643057</v>
      </c>
      <c r="J7" s="5">
        <v>841800</v>
      </c>
      <c r="K7" s="5">
        <v>860200</v>
      </c>
      <c r="L7" s="5">
        <v>894700</v>
      </c>
      <c r="M7" s="5">
        <v>814200</v>
      </c>
      <c r="N7" s="5">
        <v>823400</v>
      </c>
      <c r="O7" s="5">
        <v>880900</v>
      </c>
      <c r="Q7" s="6" t="s">
        <v>60</v>
      </c>
      <c r="R7" s="6" t="s">
        <v>67</v>
      </c>
      <c r="S7"/>
      <c r="T7"/>
      <c r="U7"/>
    </row>
    <row r="8" spans="1:21" ht="32.25" customHeight="1" x14ac:dyDescent="0.25">
      <c r="A8" s="6" t="s">
        <v>0</v>
      </c>
      <c r="B8" s="12" t="s">
        <v>13</v>
      </c>
      <c r="C8" s="7" t="s">
        <v>97</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61</v>
      </c>
      <c r="R8" s="6" t="s">
        <v>68</v>
      </c>
      <c r="S8"/>
      <c r="T8"/>
      <c r="U8"/>
    </row>
    <row r="9" spans="1:21" hidden="1" x14ac:dyDescent="0.25">
      <c r="A9" s="6" t="s">
        <v>0</v>
      </c>
      <c r="B9" s="12" t="s">
        <v>13</v>
      </c>
      <c r="C9" s="7" t="s">
        <v>65</v>
      </c>
      <c r="D9" s="5">
        <v>920920</v>
      </c>
      <c r="E9" s="5">
        <v>1311161</v>
      </c>
      <c r="F9" s="5">
        <v>1025133</v>
      </c>
      <c r="G9" s="5">
        <v>1354286</v>
      </c>
      <c r="H9" s="5">
        <v>892584</v>
      </c>
      <c r="I9" s="5">
        <v>998020</v>
      </c>
      <c r="J9" s="5">
        <v>1196000</v>
      </c>
      <c r="K9" s="5">
        <v>1202900</v>
      </c>
      <c r="L9" s="5">
        <v>1235100</v>
      </c>
      <c r="M9" s="5">
        <v>1147700</v>
      </c>
      <c r="N9" s="5">
        <v>1159200</v>
      </c>
      <c r="O9" s="5">
        <v>1276500</v>
      </c>
      <c r="Q9" s="6" t="s">
        <v>62</v>
      </c>
      <c r="R9" s="6" t="s">
        <v>97</v>
      </c>
      <c r="S9"/>
      <c r="T9"/>
      <c r="U9"/>
    </row>
    <row r="10" spans="1:21" x14ac:dyDescent="0.25">
      <c r="B10" s="12"/>
      <c r="C10" s="7"/>
      <c r="D10" s="5"/>
      <c r="E10" s="5"/>
      <c r="F10" s="5"/>
      <c r="G10" s="5"/>
      <c r="H10" s="5"/>
      <c r="I10" s="5"/>
      <c r="J10" s="5"/>
      <c r="K10" s="5"/>
      <c r="L10" s="5"/>
      <c r="M10" s="5"/>
      <c r="N10" s="5"/>
      <c r="O10" s="5"/>
      <c r="S10"/>
      <c r="T10"/>
      <c r="U10"/>
    </row>
    <row r="11" spans="1:21" x14ac:dyDescent="0.25">
      <c r="A11" s="6" t="s">
        <v>0</v>
      </c>
      <c r="B11" s="12" t="s">
        <v>19</v>
      </c>
      <c r="C11" s="7" t="s">
        <v>70</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25">
      <c r="A12" s="6" t="s">
        <v>0</v>
      </c>
      <c r="B12" s="12" t="s">
        <v>19</v>
      </c>
      <c r="C12" s="7" t="s">
        <v>71</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81</v>
      </c>
      <c r="R12" s="28">
        <v>1</v>
      </c>
      <c r="S12"/>
      <c r="T12"/>
      <c r="U12"/>
    </row>
    <row r="13" spans="1:21" x14ac:dyDescent="0.25">
      <c r="A13" s="6" t="s">
        <v>0</v>
      </c>
      <c r="B13" s="12" t="s">
        <v>19</v>
      </c>
      <c r="C13" s="7" t="s">
        <v>68</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7" t="str" cm="1">
        <f t="array" ref="R13">INDEX(Q13:Q15, R12)</f>
        <v>Revenue</v>
      </c>
      <c r="S13"/>
      <c r="T13"/>
      <c r="U13"/>
    </row>
    <row r="14" spans="1:21" x14ac:dyDescent="0.25">
      <c r="A14" s="6" t="s">
        <v>0</v>
      </c>
      <c r="B14" s="12" t="s">
        <v>19</v>
      </c>
      <c r="C14" s="7" t="s">
        <v>66</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25">
      <c r="A15" s="6" t="s">
        <v>0</v>
      </c>
      <c r="B15" s="12" t="s">
        <v>19</v>
      </c>
      <c r="C15" s="7" t="s">
        <v>67</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25">
      <c r="A16" s="6" t="s">
        <v>0</v>
      </c>
      <c r="B16" s="12" t="s">
        <v>19</v>
      </c>
      <c r="C16" s="7" t="s">
        <v>69</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25">
      <c r="A17" s="6" t="s">
        <v>0</v>
      </c>
      <c r="B17" s="12" t="s">
        <v>19</v>
      </c>
      <c r="C17" s="7" t="s">
        <v>97</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25">
      <c r="A18" s="6" t="s">
        <v>0</v>
      </c>
      <c r="B18" s="12" t="s">
        <v>19</v>
      </c>
      <c r="C18" s="7" t="s">
        <v>65</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25">
      <c r="D19" s="5"/>
      <c r="E19" s="5"/>
      <c r="F19" s="5"/>
      <c r="G19" s="5"/>
      <c r="H19" s="5"/>
      <c r="I19" s="5"/>
    </row>
    <row r="20" spans="1:21" x14ac:dyDescent="0.25">
      <c r="A20" s="6" t="s">
        <v>1</v>
      </c>
      <c r="B20" s="12" t="s">
        <v>13</v>
      </c>
      <c r="C20" s="7" t="s">
        <v>70</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25">
      <c r="A21" s="6" t="s">
        <v>1</v>
      </c>
      <c r="B21" s="12" t="s">
        <v>13</v>
      </c>
      <c r="C21" s="7" t="s">
        <v>71</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25">
      <c r="A22" s="6" t="s">
        <v>1</v>
      </c>
      <c r="B22" s="12" t="s">
        <v>13</v>
      </c>
      <c r="C22" s="7" t="s">
        <v>68</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25">
      <c r="A23" s="6" t="s">
        <v>1</v>
      </c>
      <c r="B23" s="12" t="s">
        <v>13</v>
      </c>
      <c r="C23" s="7" t="s">
        <v>66</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25">
      <c r="A24" s="6" t="s">
        <v>1</v>
      </c>
      <c r="B24" s="12" t="s">
        <v>13</v>
      </c>
      <c r="C24" s="7" t="s">
        <v>67</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25">
      <c r="A25" s="6" t="s">
        <v>1</v>
      </c>
      <c r="B25" s="12" t="s">
        <v>13</v>
      </c>
      <c r="C25" s="7" t="s">
        <v>69</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25">
      <c r="A26" s="6" t="s">
        <v>1</v>
      </c>
      <c r="B26" s="12" t="s">
        <v>13</v>
      </c>
      <c r="C26" s="7" t="s">
        <v>97</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25">
      <c r="A27" s="6" t="s">
        <v>1</v>
      </c>
      <c r="B27" s="12" t="s">
        <v>13</v>
      </c>
      <c r="C27" s="7" t="s">
        <v>65</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25">
      <c r="B28" s="12"/>
      <c r="C28" s="7"/>
      <c r="D28" s="5"/>
      <c r="E28" s="5"/>
      <c r="F28" s="5"/>
      <c r="G28" s="5"/>
      <c r="H28" s="5"/>
      <c r="I28" s="5"/>
      <c r="J28" s="15"/>
      <c r="K28" s="15"/>
      <c r="L28" s="15"/>
      <c r="M28" s="15"/>
      <c r="N28" s="15"/>
      <c r="O28" s="15"/>
    </row>
    <row r="29" spans="1:21" x14ac:dyDescent="0.25">
      <c r="A29" s="6" t="s">
        <v>1</v>
      </c>
      <c r="B29" s="12" t="s">
        <v>19</v>
      </c>
      <c r="C29" s="7" t="s">
        <v>70</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25">
      <c r="A30" s="6" t="s">
        <v>1</v>
      </c>
      <c r="B30" s="12" t="s">
        <v>19</v>
      </c>
      <c r="C30" s="7" t="s">
        <v>71</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25">
      <c r="A31" s="6" t="s">
        <v>1</v>
      </c>
      <c r="B31" s="12" t="s">
        <v>19</v>
      </c>
      <c r="C31" s="7" t="s">
        <v>68</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25">
      <c r="A32" s="6" t="s">
        <v>1</v>
      </c>
      <c r="B32" s="12" t="s">
        <v>19</v>
      </c>
      <c r="C32" s="7" t="s">
        <v>66</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25">
      <c r="A33" s="6" t="s">
        <v>1</v>
      </c>
      <c r="B33" s="12" t="s">
        <v>19</v>
      </c>
      <c r="C33" s="7" t="s">
        <v>67</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25">
      <c r="A34" s="6" t="s">
        <v>1</v>
      </c>
      <c r="B34" s="12" t="s">
        <v>19</v>
      </c>
      <c r="C34" s="7" t="s">
        <v>69</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25">
      <c r="A35" s="6" t="s">
        <v>1</v>
      </c>
      <c r="B35" s="12" t="s">
        <v>19</v>
      </c>
      <c r="C35" s="7" t="s">
        <v>97</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25">
      <c r="A36" s="6" t="s">
        <v>1</v>
      </c>
      <c r="B36" s="12" t="s">
        <v>19</v>
      </c>
      <c r="C36" s="7" t="s">
        <v>65</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25">
      <c r="B37" s="12"/>
      <c r="C37" s="7"/>
      <c r="D37" s="5"/>
      <c r="E37" s="5"/>
      <c r="F37" s="5"/>
      <c r="G37" s="5"/>
      <c r="H37" s="5"/>
      <c r="I37" s="5"/>
      <c r="J37" s="15"/>
      <c r="K37" s="15"/>
      <c r="L37" s="15"/>
      <c r="M37" s="15"/>
      <c r="N37" s="15"/>
      <c r="O37" s="15"/>
    </row>
    <row r="38" spans="1:20" x14ac:dyDescent="0.25">
      <c r="A38" s="6" t="s">
        <v>2</v>
      </c>
      <c r="B38" s="12" t="s">
        <v>13</v>
      </c>
      <c r="C38" s="7" t="s">
        <v>70</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25">
      <c r="A39" s="6" t="s">
        <v>2</v>
      </c>
      <c r="B39" s="12" t="s">
        <v>13</v>
      </c>
      <c r="C39" s="7" t="s">
        <v>71</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25">
      <c r="A40" s="6" t="s">
        <v>2</v>
      </c>
      <c r="B40" s="12" t="s">
        <v>13</v>
      </c>
      <c r="C40" s="7" t="s">
        <v>68</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25">
      <c r="A41" s="6" t="s">
        <v>2</v>
      </c>
      <c r="B41" s="12" t="s">
        <v>13</v>
      </c>
      <c r="C41" s="7" t="s">
        <v>66</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25">
      <c r="A42" s="6" t="s">
        <v>2</v>
      </c>
      <c r="B42" s="12" t="s">
        <v>13</v>
      </c>
      <c r="C42" s="7" t="s">
        <v>67</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25">
      <c r="A43" s="6" t="s">
        <v>2</v>
      </c>
      <c r="B43" s="12" t="s">
        <v>13</v>
      </c>
      <c r="C43" s="7" t="s">
        <v>69</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25">
      <c r="A44" s="6" t="s">
        <v>2</v>
      </c>
      <c r="B44" s="12" t="s">
        <v>13</v>
      </c>
      <c r="C44" s="7" t="s">
        <v>97</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25">
      <c r="A45" s="6" t="s">
        <v>2</v>
      </c>
      <c r="B45" s="12" t="s">
        <v>13</v>
      </c>
      <c r="C45" s="7" t="s">
        <v>65</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25">
      <c r="B46" s="12"/>
      <c r="C46" s="7"/>
      <c r="D46" s="16"/>
      <c r="E46" s="16"/>
      <c r="F46" s="16"/>
      <c r="G46" s="16"/>
      <c r="H46" s="16"/>
      <c r="I46" s="16"/>
      <c r="J46" s="16"/>
      <c r="K46" s="16"/>
      <c r="L46" s="16"/>
      <c r="M46" s="16"/>
      <c r="N46" s="16"/>
      <c r="O46" s="16"/>
    </row>
    <row r="47" spans="1:20" x14ac:dyDescent="0.25">
      <c r="A47" s="6" t="s">
        <v>2</v>
      </c>
      <c r="B47" s="12" t="s">
        <v>19</v>
      </c>
      <c r="C47" s="7" t="s">
        <v>70</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25">
      <c r="A48" s="6" t="s">
        <v>2</v>
      </c>
      <c r="B48" s="12" t="s">
        <v>19</v>
      </c>
      <c r="C48" s="7" t="s">
        <v>71</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25">
      <c r="A49" s="6" t="s">
        <v>2</v>
      </c>
      <c r="B49" s="12" t="s">
        <v>19</v>
      </c>
      <c r="C49" s="7" t="s">
        <v>68</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25">
      <c r="A50" s="6" t="s">
        <v>2</v>
      </c>
      <c r="B50" s="12" t="s">
        <v>19</v>
      </c>
      <c r="C50" s="7" t="s">
        <v>66</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25">
      <c r="A51" s="6" t="s">
        <v>2</v>
      </c>
      <c r="B51" s="12" t="s">
        <v>19</v>
      </c>
      <c r="C51" s="7" t="s">
        <v>67</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25">
      <c r="A52" s="6" t="s">
        <v>2</v>
      </c>
      <c r="B52" s="12" t="s">
        <v>19</v>
      </c>
      <c r="C52" s="7" t="s">
        <v>69</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25">
      <c r="A53" s="6" t="s">
        <v>2</v>
      </c>
      <c r="B53" s="12" t="s">
        <v>19</v>
      </c>
      <c r="C53" s="7" t="s">
        <v>97</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25">
      <c r="A54" s="6" t="s">
        <v>2</v>
      </c>
      <c r="B54" s="12" t="s">
        <v>19</v>
      </c>
      <c r="C54" s="7" t="s">
        <v>65</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25">
      <c r="B55" s="12"/>
      <c r="C55" s="7"/>
      <c r="D55" s="15"/>
      <c r="E55" s="15"/>
      <c r="F55" s="15"/>
      <c r="G55" s="15"/>
      <c r="H55" s="15"/>
      <c r="I55" s="15"/>
      <c r="J55" s="15"/>
      <c r="K55" s="15"/>
      <c r="L55" s="15"/>
      <c r="M55" s="15"/>
      <c r="N55" s="15"/>
      <c r="O55" s="15"/>
    </row>
    <row r="56" spans="1:15" x14ac:dyDescent="0.25">
      <c r="D56" s="29"/>
      <c r="E56" s="29"/>
      <c r="F56" s="29"/>
      <c r="G56" s="29"/>
      <c r="H56" s="29"/>
      <c r="I56" s="29"/>
      <c r="J56" s="29"/>
      <c r="N56" s="15"/>
      <c r="O56" s="15"/>
    </row>
    <row r="57" spans="1:15" x14ac:dyDescent="0.25">
      <c r="D57" s="29"/>
      <c r="E57" s="29"/>
      <c r="F57" s="29"/>
      <c r="G57" s="29"/>
      <c r="H57" s="29"/>
      <c r="I57" s="29"/>
      <c r="J57" s="29"/>
      <c r="N57" s="15"/>
      <c r="O57" s="15"/>
    </row>
    <row r="58" spans="1:15" x14ac:dyDescent="0.25">
      <c r="D58" s="29"/>
      <c r="E58" s="29"/>
      <c r="F58" s="29"/>
      <c r="G58" s="29"/>
      <c r="H58" s="29"/>
      <c r="I58" s="29"/>
      <c r="J58" s="29"/>
      <c r="N58" s="15"/>
      <c r="O58" s="15"/>
    </row>
    <row r="59" spans="1:15" x14ac:dyDescent="0.25">
      <c r="D59" s="29"/>
      <c r="E59" s="29"/>
      <c r="F59" s="29"/>
      <c r="G59" s="29"/>
      <c r="H59" s="29"/>
      <c r="I59" s="29"/>
      <c r="J59" s="29"/>
      <c r="N59" s="15"/>
      <c r="O59" s="15"/>
    </row>
    <row r="60" spans="1:15" x14ac:dyDescent="0.25">
      <c r="D60" s="29"/>
      <c r="E60" s="29"/>
      <c r="F60" s="29"/>
      <c r="G60" s="29"/>
      <c r="H60" s="29"/>
      <c r="I60" s="29"/>
      <c r="J60" s="29"/>
    </row>
    <row r="61" spans="1:15" x14ac:dyDescent="0.25">
      <c r="D61" s="29"/>
      <c r="E61" s="29"/>
      <c r="F61" s="29"/>
      <c r="G61" s="29"/>
      <c r="H61" s="29"/>
      <c r="I61" s="29"/>
      <c r="J61" s="29"/>
    </row>
    <row r="62" spans="1:15" x14ac:dyDescent="0.25">
      <c r="D62" s="29"/>
      <c r="E62" s="29"/>
      <c r="F62" s="29"/>
      <c r="G62" s="29"/>
      <c r="H62" s="29"/>
      <c r="I62" s="29"/>
      <c r="J62" s="29"/>
    </row>
    <row r="63" spans="1:15" x14ac:dyDescent="0.25">
      <c r="D63" s="29"/>
      <c r="E63" s="29"/>
      <c r="F63" s="29"/>
      <c r="G63" s="29"/>
      <c r="H63" s="29"/>
      <c r="I63" s="29"/>
      <c r="J63" s="29"/>
    </row>
    <row r="64" spans="1:15" x14ac:dyDescent="0.25">
      <c r="D64" s="29"/>
      <c r="E64" s="29"/>
      <c r="F64" s="29"/>
      <c r="G64" s="29"/>
      <c r="H64" s="29"/>
      <c r="I64" s="29"/>
      <c r="J64" s="29"/>
    </row>
    <row r="65" spans="4:10" x14ac:dyDescent="0.25">
      <c r="D65" s="29"/>
      <c r="E65" s="29"/>
      <c r="F65" s="29"/>
      <c r="G65" s="29"/>
      <c r="H65" s="29"/>
      <c r="I65" s="29"/>
      <c r="J65" s="29"/>
    </row>
    <row r="66" spans="4:10" x14ac:dyDescent="0.25">
      <c r="D66" s="29"/>
      <c r="E66" s="29"/>
      <c r="F66" s="29"/>
      <c r="G66" s="29"/>
      <c r="H66" s="29"/>
      <c r="I66" s="29"/>
      <c r="J66" s="29"/>
    </row>
  </sheetData>
  <autoFilter ref="A1:O9" xr:uid="{C75A9185-1475-4166-A4F9-AD623817B94C}">
    <filterColumn colId="2">
      <filters>
        <filter val="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90" zoomScaleNormal="90" workbookViewId="0">
      <pane ySplit="1" topLeftCell="A2" activePane="bottomLeft" state="frozen"/>
      <selection activeCell="J60" sqref="J60"/>
      <selection pane="bottomLeft" activeCell="K1" sqref="K1"/>
    </sheetView>
  </sheetViews>
  <sheetFormatPr defaultRowHeight="15" x14ac:dyDescent="0.25"/>
  <cols>
    <col min="1" max="1" width="14" style="6" customWidth="1"/>
    <col min="2" max="3" width="9.140625" style="6"/>
    <col min="4" max="11" width="12.28515625" style="6" customWidth="1"/>
    <col min="12" max="16384" width="9.140625" style="6"/>
  </cols>
  <sheetData>
    <row r="1" spans="1:11" x14ac:dyDescent="0.25">
      <c r="A1" s="28" t="s">
        <v>3</v>
      </c>
      <c r="B1" s="14" t="s">
        <v>4</v>
      </c>
      <c r="C1" s="14" t="s">
        <v>5</v>
      </c>
      <c r="D1" s="14">
        <v>2014</v>
      </c>
      <c r="E1" s="30">
        <v>2015</v>
      </c>
      <c r="F1" s="30">
        <v>2016</v>
      </c>
      <c r="G1" s="30">
        <v>2017</v>
      </c>
      <c r="H1" s="30">
        <v>2018</v>
      </c>
      <c r="I1" s="30">
        <v>2019</v>
      </c>
      <c r="J1" s="30">
        <v>2020</v>
      </c>
      <c r="K1" s="30">
        <v>2021</v>
      </c>
    </row>
    <row r="2" spans="1:11" x14ac:dyDescent="0.25">
      <c r="A2" s="6" t="s">
        <v>6</v>
      </c>
      <c r="B2" s="12" t="s">
        <v>4</v>
      </c>
      <c r="C2" s="7" t="s">
        <v>70</v>
      </c>
      <c r="D2" s="9">
        <v>722972.8</v>
      </c>
      <c r="E2" s="9">
        <v>834359.04</v>
      </c>
      <c r="F2" s="9">
        <v>942549.99999999988</v>
      </c>
      <c r="G2" s="10">
        <v>903716</v>
      </c>
      <c r="H2" s="10">
        <v>927065.59999999998</v>
      </c>
      <c r="I2" s="10">
        <v>1346500</v>
      </c>
      <c r="J2" s="10">
        <v>1264337.6000000001</v>
      </c>
      <c r="K2" s="10">
        <v>1408528</v>
      </c>
    </row>
    <row r="3" spans="1:11" x14ac:dyDescent="0.25">
      <c r="A3" s="6" t="s">
        <v>7</v>
      </c>
      <c r="B3" s="12" t="s">
        <v>4</v>
      </c>
      <c r="C3" s="7" t="s">
        <v>70</v>
      </c>
      <c r="D3" s="9">
        <v>684921.60000000009</v>
      </c>
      <c r="E3" s="9">
        <v>1303686</v>
      </c>
      <c r="F3" s="9">
        <v>791742</v>
      </c>
      <c r="G3" s="10">
        <v>856152</v>
      </c>
      <c r="H3" s="10">
        <v>1448540</v>
      </c>
      <c r="I3" s="10">
        <v>1131060</v>
      </c>
      <c r="J3" s="10">
        <v>1784947.2</v>
      </c>
      <c r="K3" s="10">
        <v>1549380.8</v>
      </c>
    </row>
    <row r="4" spans="1:11" x14ac:dyDescent="0.25">
      <c r="A4" s="6" t="s">
        <v>8</v>
      </c>
      <c r="B4" s="12" t="s">
        <v>4</v>
      </c>
      <c r="C4" s="7" t="s">
        <v>70</v>
      </c>
      <c r="D4" s="9">
        <v>608819.20000000007</v>
      </c>
      <c r="E4" s="9">
        <v>1042948.8</v>
      </c>
      <c r="F4" s="9">
        <v>791742</v>
      </c>
      <c r="G4" s="10">
        <v>761024</v>
      </c>
      <c r="H4" s="10">
        <v>1158832</v>
      </c>
      <c r="I4" s="10">
        <v>1131060</v>
      </c>
      <c r="J4" s="10">
        <v>1859320</v>
      </c>
      <c r="K4" s="10">
        <v>1478954.4</v>
      </c>
    </row>
    <row r="5" spans="1:11" x14ac:dyDescent="0.25">
      <c r="A5" s="6" t="s">
        <v>9</v>
      </c>
      <c r="B5" s="12" t="s">
        <v>4</v>
      </c>
      <c r="C5" s="7" t="s">
        <v>70</v>
      </c>
      <c r="D5" s="9">
        <v>721006.4</v>
      </c>
      <c r="E5" s="9">
        <v>819807.3</v>
      </c>
      <c r="F5" s="9">
        <v>754040</v>
      </c>
      <c r="G5" s="10">
        <v>901258</v>
      </c>
      <c r="H5" s="10">
        <v>910897</v>
      </c>
      <c r="I5" s="10">
        <v>1077200</v>
      </c>
      <c r="J5" s="10">
        <v>1859320</v>
      </c>
      <c r="K5" s="10">
        <v>1056396</v>
      </c>
    </row>
    <row r="6" spans="1:11" x14ac:dyDescent="0.25">
      <c r="A6" s="6" t="s">
        <v>10</v>
      </c>
      <c r="B6" s="12" t="s">
        <v>4</v>
      </c>
      <c r="C6" s="7" t="s">
        <v>70</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25">
      <c r="A7" s="6" t="s">
        <v>6</v>
      </c>
      <c r="B7" s="12" t="s">
        <v>4</v>
      </c>
      <c r="C7" s="7" t="s">
        <v>71</v>
      </c>
      <c r="D7" s="9">
        <v>698257.92000000004</v>
      </c>
      <c r="E7" s="9">
        <v>650733.4800000001</v>
      </c>
      <c r="F7" s="9">
        <v>545390.72</v>
      </c>
      <c r="G7" s="8">
        <v>872822.4</v>
      </c>
      <c r="H7" s="8">
        <v>723037.20000000007</v>
      </c>
      <c r="I7" s="8">
        <v>779129.6</v>
      </c>
      <c r="J7" s="8">
        <v>922134.4</v>
      </c>
      <c r="K7" s="8">
        <v>1481154.4</v>
      </c>
    </row>
    <row r="8" spans="1:11" x14ac:dyDescent="0.25">
      <c r="A8" s="6" t="s">
        <v>7</v>
      </c>
      <c r="B8" s="12" t="s">
        <v>4</v>
      </c>
      <c r="C8" s="7" t="s">
        <v>71</v>
      </c>
      <c r="D8" s="9">
        <v>610975.68000000005</v>
      </c>
      <c r="E8" s="9">
        <v>880404.12000000011</v>
      </c>
      <c r="F8" s="9">
        <v>749912.23999999987</v>
      </c>
      <c r="G8" s="8">
        <v>763719.6</v>
      </c>
      <c r="H8" s="8">
        <v>978226.8</v>
      </c>
      <c r="I8" s="8">
        <v>1071303.2</v>
      </c>
      <c r="J8" s="8">
        <v>1193350.3999999999</v>
      </c>
      <c r="K8" s="8">
        <v>1211853.5999999999</v>
      </c>
    </row>
    <row r="9" spans="1:11" x14ac:dyDescent="0.25">
      <c r="A9" s="6" t="s">
        <v>8</v>
      </c>
      <c r="B9" s="12" t="s">
        <v>4</v>
      </c>
      <c r="C9" s="7" t="s">
        <v>71</v>
      </c>
      <c r="D9" s="9">
        <v>494599.3600000001</v>
      </c>
      <c r="E9" s="9">
        <v>727290.36</v>
      </c>
      <c r="F9" s="9">
        <v>783999.16</v>
      </c>
      <c r="G9" s="8">
        <v>618249.20000000007</v>
      </c>
      <c r="H9" s="8">
        <v>808100.4</v>
      </c>
      <c r="I9" s="8">
        <v>1119998.8</v>
      </c>
      <c r="J9" s="8">
        <v>1084864</v>
      </c>
      <c r="K9" s="8">
        <v>1077203.2</v>
      </c>
    </row>
    <row r="10" spans="1:11" x14ac:dyDescent="0.25">
      <c r="A10" s="6" t="s">
        <v>9</v>
      </c>
      <c r="B10" s="12" t="s">
        <v>4</v>
      </c>
      <c r="C10" s="7" t="s">
        <v>71</v>
      </c>
      <c r="D10" s="9">
        <v>669163.84000000008</v>
      </c>
      <c r="E10" s="9">
        <v>765568.8</v>
      </c>
      <c r="F10" s="9">
        <v>579477.64</v>
      </c>
      <c r="G10" s="8">
        <v>836454.8</v>
      </c>
      <c r="H10" s="8">
        <v>850632</v>
      </c>
      <c r="I10" s="8">
        <v>827825.20000000007</v>
      </c>
      <c r="J10" s="8">
        <v>922134.4</v>
      </c>
      <c r="K10" s="8">
        <v>1481154.4</v>
      </c>
    </row>
    <row r="11" spans="1:11" x14ac:dyDescent="0.25">
      <c r="A11" s="6" t="s">
        <v>10</v>
      </c>
      <c r="B11" s="12" t="s">
        <v>4</v>
      </c>
      <c r="C11" s="7" t="s">
        <v>71</v>
      </c>
      <c r="D11" s="9">
        <v>436411.20000000013</v>
      </c>
      <c r="E11" s="9">
        <v>803847.23999999987</v>
      </c>
      <c r="F11" s="9">
        <v>749912.23999999987</v>
      </c>
      <c r="G11" s="8">
        <v>545514.00000000012</v>
      </c>
      <c r="H11" s="8">
        <v>893163.59999999986</v>
      </c>
      <c r="I11" s="8">
        <v>1071303.2</v>
      </c>
      <c r="J11" s="8">
        <v>1301836.7999999993</v>
      </c>
      <c r="K11" s="8">
        <v>1481154.4</v>
      </c>
    </row>
    <row r="12" spans="1:11" x14ac:dyDescent="0.25">
      <c r="A12" s="6" t="s">
        <v>6</v>
      </c>
      <c r="B12" s="12" t="s">
        <v>4</v>
      </c>
      <c r="C12" s="7" t="s">
        <v>68</v>
      </c>
      <c r="D12" s="9">
        <v>574760.06400000001</v>
      </c>
      <c r="E12" s="9">
        <v>504589.41000000003</v>
      </c>
      <c r="F12" s="9">
        <v>336599.19999999995</v>
      </c>
      <c r="G12" s="8">
        <v>718450.08</v>
      </c>
      <c r="H12" s="8">
        <v>560654.9</v>
      </c>
      <c r="I12" s="8">
        <v>480856</v>
      </c>
      <c r="J12" s="8">
        <v>776291.4</v>
      </c>
      <c r="K12" s="8">
        <v>1038099.48</v>
      </c>
    </row>
    <row r="13" spans="1:11" x14ac:dyDescent="0.25">
      <c r="A13" s="6" t="s">
        <v>7</v>
      </c>
      <c r="B13" s="12" t="s">
        <v>4</v>
      </c>
      <c r="C13" s="7" t="s">
        <v>68</v>
      </c>
      <c r="D13" s="9">
        <v>502915.05599999998</v>
      </c>
      <c r="E13" s="9">
        <v>682679.79</v>
      </c>
      <c r="F13" s="9">
        <v>462823.89999999997</v>
      </c>
      <c r="G13" s="8">
        <v>628643.81999999995</v>
      </c>
      <c r="H13" s="8">
        <v>758533.1</v>
      </c>
      <c r="I13" s="8">
        <v>661177</v>
      </c>
      <c r="J13" s="8">
        <v>1004612.4</v>
      </c>
      <c r="K13" s="8">
        <v>849354.12</v>
      </c>
    </row>
    <row r="14" spans="1:11" x14ac:dyDescent="0.25">
      <c r="A14" s="6" t="s">
        <v>8</v>
      </c>
      <c r="B14" s="12" t="s">
        <v>4</v>
      </c>
      <c r="C14" s="7" t="s">
        <v>68</v>
      </c>
      <c r="D14" s="9">
        <v>407121.71200000006</v>
      </c>
      <c r="E14" s="9">
        <v>563952.87000000011</v>
      </c>
      <c r="F14" s="9">
        <v>483861.35</v>
      </c>
      <c r="G14" s="8">
        <v>508902.14</v>
      </c>
      <c r="H14" s="8">
        <v>626614.30000000005</v>
      </c>
      <c r="I14" s="8">
        <v>691230.5</v>
      </c>
      <c r="J14" s="8">
        <v>913284</v>
      </c>
      <c r="K14" s="8">
        <v>754981.44000000006</v>
      </c>
    </row>
    <row r="15" spans="1:11" x14ac:dyDescent="0.25">
      <c r="A15" s="6" t="s">
        <v>9</v>
      </c>
      <c r="B15" s="12" t="s">
        <v>4</v>
      </c>
      <c r="C15" s="7" t="s">
        <v>68</v>
      </c>
      <c r="D15" s="9">
        <v>550811.728</v>
      </c>
      <c r="E15" s="9">
        <v>593634.6</v>
      </c>
      <c r="F15" s="9">
        <v>357636.65</v>
      </c>
      <c r="G15" s="8">
        <v>688514.66</v>
      </c>
      <c r="H15" s="8">
        <v>659594</v>
      </c>
      <c r="I15" s="8">
        <v>510909.50000000006</v>
      </c>
      <c r="J15" s="8">
        <v>776291.4</v>
      </c>
      <c r="K15" s="8">
        <v>1038099.48</v>
      </c>
    </row>
    <row r="16" spans="1:11" x14ac:dyDescent="0.25">
      <c r="A16" s="6" t="s">
        <v>10</v>
      </c>
      <c r="B16" s="12" t="s">
        <v>4</v>
      </c>
      <c r="C16" s="7" t="s">
        <v>68</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25">
      <c r="A17" s="6" t="s">
        <v>6</v>
      </c>
      <c r="B17" s="12" t="s">
        <v>4</v>
      </c>
      <c r="C17" s="7" t="s">
        <v>66</v>
      </c>
      <c r="D17" s="9">
        <v>999800.0639999999</v>
      </c>
      <c r="E17" s="9">
        <v>936490.35600000015</v>
      </c>
      <c r="F17" s="9">
        <v>696317.88799999992</v>
      </c>
      <c r="G17" s="8">
        <v>1249750.0799999998</v>
      </c>
      <c r="H17" s="8">
        <v>1040544.8400000001</v>
      </c>
      <c r="I17" s="8">
        <v>994739.84</v>
      </c>
      <c r="J17" s="8">
        <v>1215155.24</v>
      </c>
      <c r="K17" s="8">
        <v>1808848.8</v>
      </c>
    </row>
    <row r="18" spans="1:11" x14ac:dyDescent="0.25">
      <c r="A18" s="6" t="s">
        <v>7</v>
      </c>
      <c r="B18" s="12" t="s">
        <v>4</v>
      </c>
      <c r="C18" s="7" t="s">
        <v>66</v>
      </c>
      <c r="D18" s="9">
        <v>874825.0560000001</v>
      </c>
      <c r="E18" s="9">
        <v>1267016.3640000001</v>
      </c>
      <c r="F18" s="9">
        <v>957437.0959999999</v>
      </c>
      <c r="G18" s="8">
        <v>1093531.32</v>
      </c>
      <c r="H18" s="8">
        <v>1407795.96</v>
      </c>
      <c r="I18" s="8">
        <v>1367767.28</v>
      </c>
      <c r="J18" s="8">
        <v>1572553.84</v>
      </c>
      <c r="K18" s="8">
        <v>1479967.2</v>
      </c>
    </row>
    <row r="19" spans="1:11" x14ac:dyDescent="0.25">
      <c r="A19" s="6" t="s">
        <v>8</v>
      </c>
      <c r="B19" s="12" t="s">
        <v>4</v>
      </c>
      <c r="C19" s="7" t="s">
        <v>66</v>
      </c>
      <c r="D19" s="9">
        <v>958141.72800000012</v>
      </c>
      <c r="E19" s="9">
        <v>1101753.3600000001</v>
      </c>
      <c r="F19" s="9">
        <v>739837.75600000005</v>
      </c>
      <c r="G19" s="8">
        <v>1197677.1600000001</v>
      </c>
      <c r="H19" s="8">
        <v>1224170.4000000001</v>
      </c>
      <c r="I19" s="8">
        <v>1056911.08</v>
      </c>
      <c r="J19" s="8">
        <v>1215155.24</v>
      </c>
      <c r="K19" s="8">
        <v>1808848.8</v>
      </c>
    </row>
    <row r="20" spans="1:11" x14ac:dyDescent="0.25">
      <c r="A20" s="6" t="s">
        <v>9</v>
      </c>
      <c r="B20" s="12" t="s">
        <v>4</v>
      </c>
      <c r="C20" s="7" t="s">
        <v>66</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25">
      <c r="A21" s="6" t="s">
        <v>10</v>
      </c>
      <c r="B21" s="12" t="s">
        <v>4</v>
      </c>
      <c r="C21" s="7" t="s">
        <v>66</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25">
      <c r="A22" s="6" t="s">
        <v>6</v>
      </c>
      <c r="B22" s="12" t="s">
        <v>4</v>
      </c>
      <c r="C22" s="7" t="s">
        <v>67</v>
      </c>
      <c r="D22" s="9">
        <v>862050.67200000014</v>
      </c>
      <c r="E22" s="9">
        <v>1156962.7439999999</v>
      </c>
      <c r="F22" s="9">
        <v>582597.12</v>
      </c>
      <c r="G22" s="8">
        <v>1077563.3400000001</v>
      </c>
      <c r="H22" s="8">
        <v>1285514.1599999999</v>
      </c>
      <c r="I22" s="8">
        <v>832281.59999999998</v>
      </c>
      <c r="J22" s="8">
        <v>1458356.4</v>
      </c>
      <c r="K22" s="8">
        <v>1113855.3</v>
      </c>
    </row>
    <row r="23" spans="1:11" x14ac:dyDescent="0.25">
      <c r="A23" s="6" t="s">
        <v>7</v>
      </c>
      <c r="B23" s="12" t="s">
        <v>4</v>
      </c>
      <c r="C23" s="7" t="s">
        <v>67</v>
      </c>
      <c r="D23" s="9">
        <v>775845.60480000009</v>
      </c>
      <c r="E23" s="9">
        <v>1041266.4696</v>
      </c>
      <c r="F23" s="9">
        <v>524337.40799999994</v>
      </c>
      <c r="G23" s="8">
        <v>969807.00600000005</v>
      </c>
      <c r="H23" s="8">
        <v>1156962.7439999999</v>
      </c>
      <c r="I23" s="8">
        <v>749053.43999999994</v>
      </c>
      <c r="J23" s="8">
        <v>1312520.76</v>
      </c>
      <c r="K23" s="8">
        <v>1002469.77</v>
      </c>
    </row>
    <row r="24" spans="1:11" x14ac:dyDescent="0.25">
      <c r="A24" s="6" t="s">
        <v>8</v>
      </c>
      <c r="B24" s="12" t="s">
        <v>4</v>
      </c>
      <c r="C24" s="7" t="s">
        <v>67</v>
      </c>
      <c r="D24" s="9">
        <v>985200.76800000004</v>
      </c>
      <c r="E24" s="9">
        <v>991682.35200000007</v>
      </c>
      <c r="F24" s="9">
        <v>837483.36</v>
      </c>
      <c r="G24" s="8">
        <v>1231500.96</v>
      </c>
      <c r="H24" s="8">
        <v>1101869.28</v>
      </c>
      <c r="I24" s="8">
        <v>1196404.8</v>
      </c>
      <c r="J24" s="8">
        <v>2025495</v>
      </c>
      <c r="K24" s="8">
        <v>1441459.8</v>
      </c>
    </row>
    <row r="25" spans="1:11" x14ac:dyDescent="0.25">
      <c r="A25" s="6" t="s">
        <v>9</v>
      </c>
      <c r="B25" s="12" t="s">
        <v>4</v>
      </c>
      <c r="C25" s="7" t="s">
        <v>67</v>
      </c>
      <c r="D25" s="9">
        <v>615750.48</v>
      </c>
      <c r="E25" s="9">
        <v>1267149.672</v>
      </c>
      <c r="F25" s="9">
        <v>728246.39999999991</v>
      </c>
      <c r="G25" s="8">
        <v>769688.1</v>
      </c>
      <c r="H25" s="8">
        <v>1407944.08</v>
      </c>
      <c r="I25" s="8">
        <v>1040352</v>
      </c>
      <c r="J25" s="8">
        <v>1701415.8</v>
      </c>
      <c r="K25" s="8">
        <v>1638022.5</v>
      </c>
    </row>
    <row r="26" spans="1:11" x14ac:dyDescent="0.25">
      <c r="A26" s="6" t="s">
        <v>10</v>
      </c>
      <c r="B26" s="12" t="s">
        <v>4</v>
      </c>
      <c r="C26" s="7" t="s">
        <v>67</v>
      </c>
      <c r="D26" s="9">
        <v>866155.67520000006</v>
      </c>
      <c r="E26" s="9">
        <v>1052285.1623999996</v>
      </c>
      <c r="F26" s="9">
        <v>968567.71200000006</v>
      </c>
      <c r="G26" s="8">
        <v>1082694.594</v>
      </c>
      <c r="H26" s="8">
        <v>1169205.7359999996</v>
      </c>
      <c r="I26" s="8">
        <v>1383668.1600000001</v>
      </c>
      <c r="J26" s="8">
        <v>1604192.04</v>
      </c>
      <c r="K26" s="8">
        <v>1356282.63</v>
      </c>
    </row>
    <row r="27" spans="1:11" x14ac:dyDescent="0.25">
      <c r="A27" s="6" t="s">
        <v>6</v>
      </c>
      <c r="B27" s="12" t="s">
        <v>4</v>
      </c>
      <c r="C27" s="7" t="s">
        <v>69</v>
      </c>
      <c r="D27" s="9">
        <v>1158899.7120000001</v>
      </c>
      <c r="E27" s="9">
        <v>1064370.8160000003</v>
      </c>
      <c r="F27" s="9">
        <v>681185.79200000002</v>
      </c>
      <c r="G27" s="8">
        <v>1448624.64</v>
      </c>
      <c r="H27" s="8">
        <v>1182634.2400000002</v>
      </c>
      <c r="I27" s="8">
        <v>973122.56000000006</v>
      </c>
      <c r="J27" s="8">
        <v>1495684.4800000002</v>
      </c>
      <c r="K27" s="8">
        <v>2578153.6</v>
      </c>
    </row>
    <row r="28" spans="1:11" x14ac:dyDescent="0.25">
      <c r="A28" s="6" t="s">
        <v>7</v>
      </c>
      <c r="B28" s="12" t="s">
        <v>4</v>
      </c>
      <c r="C28" s="7" t="s">
        <v>69</v>
      </c>
      <c r="D28" s="9">
        <v>1014037.2480000001</v>
      </c>
      <c r="E28" s="9">
        <v>1440031.1040000003</v>
      </c>
      <c r="F28" s="9">
        <v>936630.46399999992</v>
      </c>
      <c r="G28" s="8">
        <v>1267546.56</v>
      </c>
      <c r="H28" s="8">
        <v>1600034.5600000003</v>
      </c>
      <c r="I28" s="8">
        <v>1338043.52</v>
      </c>
      <c r="J28" s="8">
        <v>1935591.68</v>
      </c>
      <c r="K28" s="8">
        <v>2109398.4</v>
      </c>
    </row>
    <row r="29" spans="1:11" x14ac:dyDescent="0.25">
      <c r="A29" s="6" t="s">
        <v>8</v>
      </c>
      <c r="B29" s="12" t="s">
        <v>4</v>
      </c>
      <c r="C29" s="7" t="s">
        <v>69</v>
      </c>
      <c r="D29" s="9">
        <v>820887.29600000009</v>
      </c>
      <c r="E29" s="9">
        <v>1189590.9120000002</v>
      </c>
      <c r="F29" s="9">
        <v>979204.576</v>
      </c>
      <c r="G29" s="8">
        <v>1026109.1200000001</v>
      </c>
      <c r="H29" s="8">
        <v>1321767.6800000002</v>
      </c>
      <c r="I29" s="8">
        <v>1398863.6800000002</v>
      </c>
      <c r="J29" s="8">
        <v>1759628.8</v>
      </c>
      <c r="K29" s="8">
        <v>1875020.8</v>
      </c>
    </row>
    <row r="30" spans="1:11" x14ac:dyDescent="0.25">
      <c r="A30" s="6" t="s">
        <v>9</v>
      </c>
      <c r="B30" s="12" t="s">
        <v>4</v>
      </c>
      <c r="C30" s="7" t="s">
        <v>69</v>
      </c>
      <c r="D30" s="9">
        <v>1110612.2240000002</v>
      </c>
      <c r="E30" s="9">
        <v>1252200.9600000004</v>
      </c>
      <c r="F30" s="9">
        <v>723759.90399999998</v>
      </c>
      <c r="G30" s="8">
        <v>1388265.28</v>
      </c>
      <c r="H30" s="8">
        <v>1391334.4000000004</v>
      </c>
      <c r="I30" s="8">
        <v>1033942.7200000001</v>
      </c>
      <c r="J30" s="8">
        <v>1495684.4800000002</v>
      </c>
      <c r="K30" s="8">
        <v>2578153.6</v>
      </c>
    </row>
    <row r="31" spans="1:11" x14ac:dyDescent="0.25">
      <c r="A31" s="6" t="s">
        <v>10</v>
      </c>
      <c r="B31" s="12" t="s">
        <v>4</v>
      </c>
      <c r="C31" s="7" t="s">
        <v>69</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25">
      <c r="A32" s="6" t="s">
        <v>6</v>
      </c>
      <c r="B32" s="12" t="s">
        <v>4</v>
      </c>
      <c r="C32" s="7" t="s">
        <v>97</v>
      </c>
      <c r="D32" s="9">
        <v>241272.576</v>
      </c>
      <c r="E32" s="9">
        <v>215468.37000000002</v>
      </c>
      <c r="F32" s="9">
        <v>158100.76799999998</v>
      </c>
      <c r="G32" s="8">
        <v>301590.71999999997</v>
      </c>
      <c r="H32" s="8">
        <v>239409.30000000002</v>
      </c>
      <c r="I32" s="8">
        <v>225858.24</v>
      </c>
      <c r="J32" s="8">
        <v>320440.14</v>
      </c>
      <c r="K32" s="8">
        <v>428986.8</v>
      </c>
    </row>
    <row r="33" spans="1:22" x14ac:dyDescent="0.25">
      <c r="A33" s="6" t="s">
        <v>7</v>
      </c>
      <c r="B33" s="12" t="s">
        <v>4</v>
      </c>
      <c r="C33" s="7" t="s">
        <v>97</v>
      </c>
      <c r="D33" s="9">
        <v>211113.50400000002</v>
      </c>
      <c r="E33" s="9">
        <v>291516.03000000003</v>
      </c>
      <c r="F33" s="9">
        <v>217388.55600000001</v>
      </c>
      <c r="G33" s="8">
        <v>263891.88</v>
      </c>
      <c r="H33" s="8">
        <v>323906.7</v>
      </c>
      <c r="I33" s="8">
        <v>310555.08</v>
      </c>
      <c r="J33" s="8">
        <v>414687.24</v>
      </c>
      <c r="K33" s="8">
        <v>350989.2</v>
      </c>
    </row>
    <row r="34" spans="1:22" x14ac:dyDescent="0.25">
      <c r="A34" s="6" t="s">
        <v>8</v>
      </c>
      <c r="B34" s="12" t="s">
        <v>4</v>
      </c>
      <c r="C34" s="7" t="s">
        <v>97</v>
      </c>
      <c r="D34" s="9">
        <v>170901.40800000002</v>
      </c>
      <c r="E34" s="9">
        <v>240817.59</v>
      </c>
      <c r="F34" s="9">
        <v>227269.85400000002</v>
      </c>
      <c r="G34" s="8">
        <v>213626.76</v>
      </c>
      <c r="H34" s="8">
        <v>267575.09999999998</v>
      </c>
      <c r="I34" s="8">
        <v>324671.22000000003</v>
      </c>
      <c r="J34" s="8">
        <v>376988.4</v>
      </c>
      <c r="K34" s="8">
        <v>311990.40000000002</v>
      </c>
    </row>
    <row r="35" spans="1:22" x14ac:dyDescent="0.25">
      <c r="A35" s="6" t="s">
        <v>9</v>
      </c>
      <c r="B35" s="12" t="s">
        <v>4</v>
      </c>
      <c r="C35" s="7" t="s">
        <v>97</v>
      </c>
      <c r="D35" s="9">
        <v>231219.55200000003</v>
      </c>
      <c r="E35" s="9">
        <v>253492.2</v>
      </c>
      <c r="F35" s="9">
        <v>167982.06599999999</v>
      </c>
      <c r="G35" s="8">
        <v>289024.44</v>
      </c>
      <c r="H35" s="8">
        <v>281658</v>
      </c>
      <c r="I35" s="8">
        <v>239974.38</v>
      </c>
      <c r="J35" s="8">
        <v>320440.14</v>
      </c>
      <c r="K35" s="8">
        <v>428986.8</v>
      </c>
    </row>
    <row r="36" spans="1:22" x14ac:dyDescent="0.25">
      <c r="A36" s="6" t="s">
        <v>10</v>
      </c>
      <c r="B36" s="12" t="s">
        <v>4</v>
      </c>
      <c r="C36" s="7" t="s">
        <v>97</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25">
      <c r="A37" s="6" t="s">
        <v>6</v>
      </c>
      <c r="B37" s="12" t="s">
        <v>4</v>
      </c>
      <c r="C37" s="7" t="s">
        <v>65</v>
      </c>
      <c r="D37" s="9">
        <v>1552029.6960000002</v>
      </c>
      <c r="E37" s="9">
        <v>1435540.86</v>
      </c>
      <c r="F37" s="9">
        <v>1149024.128</v>
      </c>
      <c r="G37" s="8">
        <v>1940037.12</v>
      </c>
      <c r="H37" s="8">
        <v>1595045.4000000001</v>
      </c>
      <c r="I37" s="8">
        <v>1641463.04</v>
      </c>
      <c r="J37" s="8">
        <v>1940367.7600000002</v>
      </c>
      <c r="K37" s="8">
        <v>2889846.96</v>
      </c>
    </row>
    <row r="38" spans="1:22" x14ac:dyDescent="0.25">
      <c r="A38" s="6" t="s">
        <v>7</v>
      </c>
      <c r="B38" s="12" t="s">
        <v>4</v>
      </c>
      <c r="C38" s="7" t="s">
        <v>65</v>
      </c>
      <c r="D38" s="9">
        <v>1358025.9840000002</v>
      </c>
      <c r="E38" s="9">
        <v>1942202.34</v>
      </c>
      <c r="F38" s="9">
        <v>1579908.176</v>
      </c>
      <c r="G38" s="8">
        <v>1697532.4800000002</v>
      </c>
      <c r="H38" s="8">
        <v>2158002.6</v>
      </c>
      <c r="I38" s="8">
        <v>2257011.6800000002</v>
      </c>
      <c r="J38" s="8">
        <v>2511064.16</v>
      </c>
      <c r="K38" s="8">
        <v>2364420.2399999998</v>
      </c>
    </row>
    <row r="39" spans="1:22" x14ac:dyDescent="0.25">
      <c r="A39" s="6" t="s">
        <v>8</v>
      </c>
      <c r="B39" s="12" t="s">
        <v>4</v>
      </c>
      <c r="C39" s="7" t="s">
        <v>65</v>
      </c>
      <c r="D39" s="9">
        <v>1099354.3680000002</v>
      </c>
      <c r="E39" s="9">
        <v>1604428.02</v>
      </c>
      <c r="F39" s="9">
        <v>1651722.1839999999</v>
      </c>
      <c r="G39" s="8">
        <v>1374192.9600000002</v>
      </c>
      <c r="H39" s="8">
        <v>1782697.8</v>
      </c>
      <c r="I39" s="8">
        <v>2359603.12</v>
      </c>
      <c r="J39" s="8">
        <v>2282785.6</v>
      </c>
      <c r="K39" s="8">
        <v>2101706.88</v>
      </c>
    </row>
    <row r="40" spans="1:22" x14ac:dyDescent="0.25">
      <c r="A40" s="6" t="s">
        <v>9</v>
      </c>
      <c r="B40" s="12" t="s">
        <v>4</v>
      </c>
      <c r="C40" s="7" t="s">
        <v>65</v>
      </c>
      <c r="D40" s="9">
        <v>1487361.7920000004</v>
      </c>
      <c r="E40" s="9">
        <v>1688871.6</v>
      </c>
      <c r="F40" s="9">
        <v>1220838.1360000002</v>
      </c>
      <c r="G40" s="8">
        <v>1859202.2400000002</v>
      </c>
      <c r="H40" s="8">
        <v>1876524</v>
      </c>
      <c r="I40" s="8">
        <v>1744054.4800000002</v>
      </c>
      <c r="J40" s="8">
        <v>1940367.7600000002</v>
      </c>
      <c r="K40" s="8">
        <v>2889846.96</v>
      </c>
    </row>
    <row r="41" spans="1:22" x14ac:dyDescent="0.25">
      <c r="A41" s="6" t="s">
        <v>10</v>
      </c>
      <c r="B41" s="12" t="s">
        <v>4</v>
      </c>
      <c r="C41" s="7" t="s">
        <v>65</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25">
      <c r="A42" s="49" t="s">
        <v>11</v>
      </c>
      <c r="B42" s="50" t="s">
        <v>12</v>
      </c>
      <c r="C42" s="51" t="s">
        <v>70</v>
      </c>
      <c r="D42" s="52">
        <v>4183468.9600000009</v>
      </c>
      <c r="E42" s="52">
        <v>5876217.2537999982</v>
      </c>
      <c r="F42" s="52">
        <v>4335730</v>
      </c>
      <c r="G42" s="52">
        <v>5609651.5599999996</v>
      </c>
      <c r="H42" s="52">
        <v>6240230.7119999984</v>
      </c>
      <c r="I42" s="52">
        <v>6086180.0000000009</v>
      </c>
      <c r="J42" s="52">
        <v>8478499.1999999993</v>
      </c>
      <c r="K42" s="52">
        <v>7746904</v>
      </c>
      <c r="L42" s="27"/>
      <c r="M42" s="27"/>
      <c r="N42" s="27"/>
      <c r="O42" s="27"/>
      <c r="P42" s="27"/>
      <c r="Q42" s="27"/>
      <c r="R42" s="27"/>
      <c r="S42" s="27"/>
      <c r="T42" s="27"/>
      <c r="U42" s="27"/>
      <c r="V42" s="27"/>
    </row>
    <row r="43" spans="1:22" x14ac:dyDescent="0.25">
      <c r="A43" s="49" t="s">
        <v>11</v>
      </c>
      <c r="B43" s="50" t="s">
        <v>12</v>
      </c>
      <c r="C43" s="51" t="s">
        <v>71</v>
      </c>
      <c r="D43" s="52">
        <v>3171254.7200000007</v>
      </c>
      <c r="E43" s="52">
        <v>4134071.5199999996</v>
      </c>
      <c r="F43" s="52">
        <v>4056343.48</v>
      </c>
      <c r="G43" s="52">
        <v>4000436.0000000005</v>
      </c>
      <c r="H43" s="52">
        <v>4465818</v>
      </c>
      <c r="I43" s="52">
        <v>5502602.7999999998</v>
      </c>
      <c r="J43" s="52">
        <v>6129481.5999999987</v>
      </c>
      <c r="K43" s="52">
        <v>8079024</v>
      </c>
      <c r="L43" s="27"/>
      <c r="M43" s="27"/>
      <c r="N43" s="27"/>
      <c r="O43" s="27"/>
      <c r="P43" s="27"/>
      <c r="Q43" s="27"/>
      <c r="R43" s="27"/>
      <c r="S43" s="27"/>
      <c r="T43" s="27"/>
      <c r="U43" s="27"/>
      <c r="V43" s="27"/>
    </row>
    <row r="44" spans="1:22" x14ac:dyDescent="0.25">
      <c r="A44" s="49" t="s">
        <v>11</v>
      </c>
      <c r="B44" s="50" t="s">
        <v>12</v>
      </c>
      <c r="C44" s="51" t="s">
        <v>68</v>
      </c>
      <c r="D44" s="52">
        <v>2801955.3119999999</v>
      </c>
      <c r="E44" s="52">
        <v>3383717.2199999997</v>
      </c>
      <c r="F44" s="52">
        <v>2398269.2999999993</v>
      </c>
      <c r="G44" s="52">
        <v>3233025.3600000003</v>
      </c>
      <c r="H44" s="52">
        <v>3693726.4</v>
      </c>
      <c r="I44" s="52">
        <v>3245778</v>
      </c>
      <c r="J44" s="52">
        <v>4931733.5999999996</v>
      </c>
      <c r="K44" s="52">
        <v>5379242.7599999998</v>
      </c>
      <c r="L44" s="27"/>
      <c r="M44" s="27"/>
      <c r="N44" s="27"/>
      <c r="O44" s="27"/>
      <c r="P44" s="27"/>
      <c r="Q44" s="27"/>
      <c r="R44" s="27"/>
      <c r="S44" s="27"/>
      <c r="T44" s="27"/>
      <c r="U44" s="27"/>
      <c r="V44" s="27"/>
    </row>
    <row r="45" spans="1:22" x14ac:dyDescent="0.25">
      <c r="A45" s="49" t="s">
        <v>11</v>
      </c>
      <c r="B45" s="50" t="s">
        <v>12</v>
      </c>
      <c r="C45" s="51" t="s">
        <v>66</v>
      </c>
      <c r="D45" s="52">
        <v>4665733.6320000002</v>
      </c>
      <c r="E45" s="52">
        <v>6335081.8199999994</v>
      </c>
      <c r="F45" s="52">
        <v>5091824.5559999999</v>
      </c>
      <c r="G45" s="52">
        <v>5832167.040000001</v>
      </c>
      <c r="H45" s="52">
        <v>6610520.1600000001</v>
      </c>
      <c r="I45" s="52">
        <v>7398377.5599999996</v>
      </c>
      <c r="J45" s="52">
        <v>8434606.959999999</v>
      </c>
      <c r="K45" s="52">
        <v>9784227.5999999996</v>
      </c>
      <c r="L45" s="27"/>
      <c r="M45" s="27"/>
      <c r="N45" s="27"/>
      <c r="O45" s="27"/>
      <c r="P45" s="27"/>
      <c r="Q45" s="27"/>
      <c r="R45" s="27"/>
      <c r="S45" s="27"/>
      <c r="T45" s="27"/>
      <c r="U45" s="27"/>
      <c r="V45" s="27"/>
    </row>
    <row r="46" spans="1:22" x14ac:dyDescent="0.25">
      <c r="A46" s="49" t="s">
        <v>11</v>
      </c>
      <c r="B46" s="50" t="s">
        <v>12</v>
      </c>
      <c r="C46" s="51" t="s">
        <v>67</v>
      </c>
      <c r="D46" s="52">
        <v>4843903.7759999996</v>
      </c>
      <c r="E46" s="52">
        <v>6445935.2879999988</v>
      </c>
      <c r="F46" s="52">
        <v>3968942.8800000004</v>
      </c>
      <c r="G46" s="52">
        <v>6054879.7199999997</v>
      </c>
      <c r="H46" s="52">
        <v>6733645.6000000006</v>
      </c>
      <c r="I46" s="52">
        <v>5825971.2000000002</v>
      </c>
      <c r="J46" s="52">
        <v>9641356.1999999993</v>
      </c>
      <c r="K46" s="52">
        <v>7469382.5999999996</v>
      </c>
      <c r="L46" s="27"/>
      <c r="M46" s="27"/>
      <c r="N46" s="27"/>
      <c r="O46" s="27"/>
      <c r="P46" s="27"/>
      <c r="Q46" s="27"/>
      <c r="R46" s="27"/>
      <c r="S46" s="27"/>
      <c r="T46" s="27"/>
      <c r="U46" s="27"/>
      <c r="V46" s="27"/>
    </row>
    <row r="47" spans="1:22" x14ac:dyDescent="0.25">
      <c r="A47" s="49" t="s">
        <v>11</v>
      </c>
      <c r="B47" s="50" t="s">
        <v>12</v>
      </c>
      <c r="C47" s="51" t="s">
        <v>69</v>
      </c>
      <c r="D47" s="52">
        <v>5553061.1200000001</v>
      </c>
      <c r="E47" s="52">
        <v>6574055.040000001</v>
      </c>
      <c r="F47" s="52">
        <v>4768300.5440000007</v>
      </c>
      <c r="G47" s="52">
        <v>6458451.5200000014</v>
      </c>
      <c r="H47" s="52">
        <v>7304505.6000000015</v>
      </c>
      <c r="I47" s="52">
        <v>6386116.7999999998</v>
      </c>
      <c r="J47" s="52">
        <v>10469791.359999999</v>
      </c>
      <c r="K47" s="52">
        <v>13828278.399999999</v>
      </c>
      <c r="L47" s="27"/>
      <c r="M47" s="27"/>
      <c r="N47" s="27"/>
      <c r="O47" s="27"/>
      <c r="P47" s="27"/>
      <c r="Q47" s="27"/>
      <c r="R47" s="27"/>
      <c r="S47" s="27"/>
      <c r="T47" s="27"/>
      <c r="U47" s="27"/>
      <c r="V47" s="27"/>
    </row>
    <row r="48" spans="1:22" x14ac:dyDescent="0.25">
      <c r="A48" s="49" t="s">
        <v>11</v>
      </c>
      <c r="B48" s="50" t="s">
        <v>12</v>
      </c>
      <c r="C48" s="7" t="s">
        <v>97</v>
      </c>
      <c r="D48" s="52">
        <v>1085726.5920000002</v>
      </c>
      <c r="E48" s="52">
        <v>1343508.6600000001</v>
      </c>
      <c r="F48" s="52">
        <v>1126467.9720000001</v>
      </c>
      <c r="G48" s="52">
        <v>1432555.92</v>
      </c>
      <c r="H48" s="52">
        <v>1478704.5</v>
      </c>
      <c r="I48" s="52">
        <v>1609239.96</v>
      </c>
      <c r="J48" s="52">
        <v>2073436.2</v>
      </c>
      <c r="K48" s="52">
        <v>2183932.8000000003</v>
      </c>
      <c r="L48" s="27"/>
      <c r="M48" s="27"/>
      <c r="N48" s="27"/>
      <c r="O48" s="27"/>
      <c r="P48" s="27"/>
      <c r="Q48" s="27"/>
      <c r="R48" s="27"/>
      <c r="S48" s="27"/>
      <c r="T48" s="27"/>
      <c r="U48" s="27"/>
      <c r="V48" s="27"/>
    </row>
    <row r="49" spans="1:22" x14ac:dyDescent="0.25">
      <c r="A49" s="49" t="s">
        <v>11</v>
      </c>
      <c r="B49" s="50" t="s">
        <v>12</v>
      </c>
      <c r="C49" s="51" t="s">
        <v>65</v>
      </c>
      <c r="D49" s="52">
        <v>7372141.0560000017</v>
      </c>
      <c r="E49" s="52">
        <v>9964342.4399999995</v>
      </c>
      <c r="F49" s="52">
        <v>7755912.8640000001</v>
      </c>
      <c r="G49" s="52">
        <v>8568497.2800000012</v>
      </c>
      <c r="H49" s="52">
        <v>10227055.800000001</v>
      </c>
      <c r="I49" s="52">
        <v>12003198.479999999</v>
      </c>
      <c r="J49" s="52">
        <v>12897738.639999997</v>
      </c>
      <c r="K49" s="52">
        <v>13792451.399999999</v>
      </c>
      <c r="L49" s="27"/>
      <c r="M49" s="27"/>
      <c r="N49" s="27"/>
      <c r="O49" s="27"/>
      <c r="P49" s="27"/>
      <c r="Q49" s="27"/>
      <c r="R49" s="27"/>
      <c r="S49" s="27"/>
      <c r="T49" s="27"/>
      <c r="U49" s="27"/>
      <c r="V49" s="27"/>
    </row>
    <row r="50" spans="1:22" x14ac:dyDescent="0.25">
      <c r="G50" s="10"/>
      <c r="H50" s="10"/>
      <c r="I50" s="10"/>
      <c r="J50" s="10"/>
      <c r="K50" s="10"/>
    </row>
    <row r="51" spans="1:22" x14ac:dyDescent="0.25">
      <c r="G51" s="10"/>
      <c r="H51" s="10"/>
      <c r="I51" s="10"/>
      <c r="J51" s="10"/>
      <c r="K51" s="10"/>
    </row>
    <row r="52" spans="1:22" x14ac:dyDescent="0.25">
      <c r="G52" s="10"/>
      <c r="H52" s="10"/>
      <c r="I52" s="10"/>
      <c r="J52" s="10"/>
      <c r="K52" s="10"/>
    </row>
    <row r="53" spans="1:22" x14ac:dyDescent="0.25">
      <c r="G53" s="10"/>
      <c r="H53" s="10"/>
      <c r="I53" s="10"/>
      <c r="J53" s="10"/>
      <c r="K53" s="10"/>
    </row>
    <row r="54" spans="1:22" x14ac:dyDescent="0.25">
      <c r="G54" s="10"/>
      <c r="H54" s="10"/>
      <c r="I54" s="10"/>
      <c r="J54" s="10"/>
      <c r="K54" s="10"/>
    </row>
    <row r="55" spans="1:22" x14ac:dyDescent="0.25">
      <c r="G55" s="10"/>
      <c r="H55" s="10"/>
      <c r="I55" s="10"/>
      <c r="J55" s="10"/>
      <c r="K55" s="10"/>
    </row>
    <row r="56" spans="1:22" x14ac:dyDescent="0.25">
      <c r="G56" s="10"/>
      <c r="H56" s="10"/>
      <c r="I56" s="10"/>
      <c r="J56" s="10"/>
      <c r="K56" s="10"/>
    </row>
    <row r="57" spans="1:22" x14ac:dyDescent="0.25">
      <c r="G57" s="10"/>
      <c r="H57" s="10"/>
      <c r="I57" s="10"/>
      <c r="J57" s="10"/>
      <c r="K57" s="10"/>
    </row>
    <row r="58" spans="1:22" x14ac:dyDescent="0.25">
      <c r="G58" s="10"/>
      <c r="H58" s="10"/>
      <c r="I58" s="10"/>
      <c r="J58" s="10"/>
      <c r="K58" s="10"/>
    </row>
  </sheetData>
  <autoFilter ref="A1:V49" xr:uid="{B030D52C-30DB-424F-8A3F-6066074BE6C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90" zoomScaleNormal="90" workbookViewId="0">
      <selection activeCell="G22" sqref="G22"/>
    </sheetView>
  </sheetViews>
  <sheetFormatPr defaultRowHeight="15" x14ac:dyDescent="0.25"/>
  <cols>
    <col min="1" max="3" width="9.140625" style="6"/>
    <col min="4" max="4" width="12.85546875" style="6" bestFit="1" customWidth="1"/>
    <col min="5" max="7" width="11.140625" style="6" bestFit="1" customWidth="1"/>
    <col min="8" max="11" width="12.140625" style="6" bestFit="1" customWidth="1"/>
    <col min="12" max="16384" width="9.140625" style="6"/>
  </cols>
  <sheetData>
    <row r="1" spans="1:11" x14ac:dyDescent="0.25">
      <c r="A1" s="28" t="s">
        <v>3</v>
      </c>
      <c r="B1" s="14" t="s">
        <v>4</v>
      </c>
      <c r="C1" s="14" t="s">
        <v>5</v>
      </c>
      <c r="D1" s="14">
        <v>2014</v>
      </c>
      <c r="E1" s="30">
        <v>2015</v>
      </c>
      <c r="F1" s="30">
        <v>2016</v>
      </c>
      <c r="G1" s="30">
        <v>2017</v>
      </c>
      <c r="H1" s="30">
        <v>2018</v>
      </c>
      <c r="I1" s="30">
        <v>2019</v>
      </c>
      <c r="J1" s="30">
        <v>2020</v>
      </c>
      <c r="K1" s="30">
        <v>2021</v>
      </c>
    </row>
    <row r="2" spans="1:11" x14ac:dyDescent="0.25">
      <c r="A2" s="12" t="s">
        <v>13</v>
      </c>
      <c r="B2" s="12" t="s">
        <v>12</v>
      </c>
      <c r="C2" s="7" t="s">
        <v>70</v>
      </c>
      <c r="D2" s="9">
        <v>4183468.9600000009</v>
      </c>
      <c r="E2" s="9">
        <v>5876217.2537999982</v>
      </c>
      <c r="F2" s="9">
        <v>4335730</v>
      </c>
      <c r="G2" s="9">
        <v>5609651.5599999996</v>
      </c>
      <c r="H2" s="9">
        <v>6240230.7119999984</v>
      </c>
      <c r="I2" s="9">
        <v>6086180.0000000009</v>
      </c>
      <c r="J2" s="9">
        <v>8478499.1999999993</v>
      </c>
      <c r="K2" s="9">
        <v>7746904</v>
      </c>
    </row>
    <row r="3" spans="1:11" x14ac:dyDescent="0.25">
      <c r="A3" s="12" t="s">
        <v>13</v>
      </c>
      <c r="B3" s="12" t="s">
        <v>12</v>
      </c>
      <c r="C3" s="7" t="s">
        <v>71</v>
      </c>
      <c r="D3" s="9">
        <v>3171254.7200000007</v>
      </c>
      <c r="E3" s="9">
        <v>4134071.5199999996</v>
      </c>
      <c r="F3" s="9">
        <v>4056343.48</v>
      </c>
      <c r="G3" s="9">
        <v>4000436.0000000005</v>
      </c>
      <c r="H3" s="9">
        <v>4465818</v>
      </c>
      <c r="I3" s="9">
        <v>5502602.7999999998</v>
      </c>
      <c r="J3" s="9">
        <v>6129481.5999999987</v>
      </c>
      <c r="K3" s="9">
        <v>8079024</v>
      </c>
    </row>
    <row r="4" spans="1:11" x14ac:dyDescent="0.25">
      <c r="A4" s="12" t="s">
        <v>13</v>
      </c>
      <c r="B4" s="12" t="s">
        <v>12</v>
      </c>
      <c r="C4" s="7" t="s">
        <v>68</v>
      </c>
      <c r="D4" s="9">
        <v>2801955.3119999999</v>
      </c>
      <c r="E4" s="9">
        <v>3383717.2199999997</v>
      </c>
      <c r="F4" s="9">
        <v>2398269.2999999993</v>
      </c>
      <c r="G4" s="9">
        <v>3233025.3600000003</v>
      </c>
      <c r="H4" s="9">
        <v>3693726.4</v>
      </c>
      <c r="I4" s="9">
        <v>3245778</v>
      </c>
      <c r="J4" s="9">
        <v>4931733.5999999996</v>
      </c>
      <c r="K4" s="9">
        <v>5379242.7599999998</v>
      </c>
    </row>
    <row r="5" spans="1:11" x14ac:dyDescent="0.25">
      <c r="A5" s="12" t="s">
        <v>13</v>
      </c>
      <c r="B5" s="12" t="s">
        <v>12</v>
      </c>
      <c r="C5" s="7" t="s">
        <v>66</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25">
      <c r="A6" s="12" t="s">
        <v>13</v>
      </c>
      <c r="B6" s="12" t="s">
        <v>12</v>
      </c>
      <c r="C6" s="7" t="s">
        <v>67</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25">
      <c r="A7" s="12" t="s">
        <v>13</v>
      </c>
      <c r="B7" s="12" t="s">
        <v>12</v>
      </c>
      <c r="C7" s="7" t="s">
        <v>69</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25">
      <c r="A8" s="12" t="s">
        <v>13</v>
      </c>
      <c r="B8" s="12" t="s">
        <v>12</v>
      </c>
      <c r="C8" s="7" t="s">
        <v>97</v>
      </c>
      <c r="D8" s="9">
        <v>1085726.5920000002</v>
      </c>
      <c r="E8" s="9">
        <v>1343508.6600000001</v>
      </c>
      <c r="F8" s="9">
        <v>1126467.9720000001</v>
      </c>
      <c r="G8" s="9">
        <v>1432555.92</v>
      </c>
      <c r="H8" s="9">
        <v>1478704.5</v>
      </c>
      <c r="I8" s="9">
        <v>1609239.96</v>
      </c>
      <c r="J8" s="9">
        <v>2073436.2</v>
      </c>
      <c r="K8" s="9">
        <v>2183932.8000000003</v>
      </c>
    </row>
    <row r="9" spans="1:11" x14ac:dyDescent="0.25">
      <c r="A9" s="12" t="s">
        <v>13</v>
      </c>
      <c r="B9" s="12" t="s">
        <v>12</v>
      </c>
      <c r="C9" s="7" t="s">
        <v>65</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25">
      <c r="A11" s="6" t="s">
        <v>14</v>
      </c>
      <c r="B11" s="12" t="s">
        <v>12</v>
      </c>
      <c r="C11" s="7" t="s">
        <v>70</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25">
      <c r="A12" s="6" t="s">
        <v>14</v>
      </c>
      <c r="B12" s="12" t="s">
        <v>12</v>
      </c>
      <c r="C12" s="7" t="s">
        <v>71</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25">
      <c r="A13" s="6" t="s">
        <v>14</v>
      </c>
      <c r="B13" s="12" t="s">
        <v>12</v>
      </c>
      <c r="C13" s="7" t="s">
        <v>68</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25">
      <c r="A14" s="6" t="s">
        <v>14</v>
      </c>
      <c r="B14" s="12" t="s">
        <v>12</v>
      </c>
      <c r="C14" s="7" t="s">
        <v>66</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25">
      <c r="A15" s="6" t="s">
        <v>14</v>
      </c>
      <c r="B15" s="12" t="s">
        <v>12</v>
      </c>
      <c r="C15" s="7" t="s">
        <v>67</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25">
      <c r="A16" s="6" t="s">
        <v>14</v>
      </c>
      <c r="B16" s="12" t="s">
        <v>12</v>
      </c>
      <c r="C16" s="7" t="s">
        <v>69</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25">
      <c r="A17" s="6" t="s">
        <v>14</v>
      </c>
      <c r="B17" s="12" t="s">
        <v>12</v>
      </c>
      <c r="C17" s="7" t="s">
        <v>97</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25">
      <c r="A18" s="6" t="s">
        <v>14</v>
      </c>
      <c r="B18" s="12" t="s">
        <v>12</v>
      </c>
      <c r="C18" s="7" t="s">
        <v>65</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25">
      <c r="D21" s="10"/>
      <c r="E21" s="10"/>
      <c r="F21" s="10"/>
      <c r="G21" s="10"/>
      <c r="H21" s="10"/>
      <c r="I21" s="10"/>
      <c r="J21" s="10"/>
      <c r="K21" s="10"/>
    </row>
    <row r="22" spans="1:11" x14ac:dyDescent="0.25">
      <c r="D22" s="10"/>
      <c r="E22" s="10"/>
      <c r="F22" s="10"/>
      <c r="G22" s="10"/>
      <c r="H22" s="10"/>
      <c r="I22" s="10"/>
      <c r="J22" s="10"/>
      <c r="K22" s="10"/>
    </row>
    <row r="23" spans="1:11" x14ac:dyDescent="0.25">
      <c r="D23" s="10"/>
      <c r="E23" s="10"/>
      <c r="F23" s="10"/>
      <c r="G23" s="10"/>
      <c r="H23" s="10"/>
      <c r="I23" s="10"/>
      <c r="J23" s="10"/>
      <c r="K23" s="10"/>
    </row>
    <row r="24" spans="1:11" x14ac:dyDescent="0.25">
      <c r="D24" s="10"/>
      <c r="E24" s="10"/>
      <c r="F24" s="10"/>
      <c r="G24" s="10"/>
      <c r="H24" s="10"/>
      <c r="I24" s="10"/>
      <c r="J24" s="10"/>
      <c r="K24" s="10"/>
    </row>
    <row r="25" spans="1:11" x14ac:dyDescent="0.25">
      <c r="D25" s="10"/>
      <c r="E25" s="10"/>
      <c r="F25" s="10"/>
      <c r="G25" s="10"/>
      <c r="H25" s="10"/>
      <c r="I25" s="10"/>
      <c r="J25" s="10"/>
      <c r="K25" s="10"/>
    </row>
    <row r="26" spans="1:11" x14ac:dyDescent="0.25">
      <c r="D26" s="10"/>
      <c r="E26" s="10"/>
      <c r="F26" s="10"/>
      <c r="G26" s="10"/>
      <c r="H26" s="10"/>
      <c r="I26" s="10"/>
      <c r="J26" s="10"/>
      <c r="K26" s="10"/>
    </row>
    <row r="27" spans="1:11" x14ac:dyDescent="0.25">
      <c r="D27" s="10"/>
      <c r="E27" s="10"/>
      <c r="F27" s="10"/>
      <c r="G27" s="10"/>
      <c r="H27" s="10"/>
      <c r="I27" s="10"/>
      <c r="J27" s="10"/>
      <c r="K27" s="10"/>
    </row>
    <row r="28" spans="1:11" x14ac:dyDescent="0.25">
      <c r="D28" s="10"/>
      <c r="E28" s="10"/>
      <c r="F28" s="10"/>
      <c r="G28" s="10"/>
      <c r="H28" s="10"/>
      <c r="I28" s="10"/>
      <c r="J28" s="10"/>
      <c r="K28" s="10"/>
    </row>
    <row r="29" spans="1:11" x14ac:dyDescent="0.25">
      <c r="D29" s="10"/>
      <c r="E29" s="10"/>
      <c r="F29" s="10"/>
      <c r="G29" s="10"/>
      <c r="H29" s="10"/>
      <c r="I29" s="10"/>
      <c r="J29" s="10"/>
      <c r="K29" s="10"/>
    </row>
    <row r="30" spans="1:11" x14ac:dyDescent="0.25">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zoomScale="90" zoomScaleNormal="90" workbookViewId="0">
      <selection activeCell="O42" sqref="O42"/>
    </sheetView>
  </sheetViews>
  <sheetFormatPr defaultRowHeight="15" x14ac:dyDescent="0.25"/>
  <cols>
    <col min="1" max="1" width="11.140625" style="6" bestFit="1" customWidth="1"/>
    <col min="2" max="3" width="9.140625" style="6"/>
    <col min="4" max="5" width="12.85546875" style="6" bestFit="1" customWidth="1"/>
    <col min="6" max="7" width="11.28515625" style="6" bestFit="1" customWidth="1"/>
    <col min="8" max="16384" width="9.140625" style="6"/>
  </cols>
  <sheetData>
    <row r="1" spans="1:7" x14ac:dyDescent="0.25">
      <c r="A1" s="14" t="s">
        <v>74</v>
      </c>
      <c r="B1" s="14" t="s">
        <v>5</v>
      </c>
      <c r="C1" s="14" t="s">
        <v>15</v>
      </c>
      <c r="D1" s="4" t="s">
        <v>16</v>
      </c>
      <c r="E1" s="4" t="s">
        <v>72</v>
      </c>
      <c r="F1" s="4" t="s">
        <v>73</v>
      </c>
      <c r="G1" s="4" t="s">
        <v>17</v>
      </c>
    </row>
    <row r="2" spans="1:7" x14ac:dyDescent="0.25">
      <c r="A2" s="12" t="s">
        <v>18</v>
      </c>
      <c r="B2" s="7" t="s">
        <v>70</v>
      </c>
      <c r="C2" s="13">
        <v>44562</v>
      </c>
      <c r="D2" s="8">
        <v>809370</v>
      </c>
      <c r="E2" s="8">
        <v>687964.5</v>
      </c>
      <c r="F2" s="8">
        <v>309584.02499999997</v>
      </c>
      <c r="G2" s="8">
        <v>139312.81124999997</v>
      </c>
    </row>
    <row r="3" spans="1:7" x14ac:dyDescent="0.25">
      <c r="A3" s="12" t="s">
        <v>18</v>
      </c>
      <c r="B3" s="7" t="s">
        <v>71</v>
      </c>
      <c r="C3" s="13">
        <v>44562</v>
      </c>
      <c r="D3" s="8">
        <v>616285</v>
      </c>
      <c r="E3" s="8">
        <v>511516.55000000005</v>
      </c>
      <c r="F3" s="8">
        <v>260873.44050000003</v>
      </c>
      <c r="G3" s="8">
        <v>133045.45465500001</v>
      </c>
    </row>
    <row r="4" spans="1:7" x14ac:dyDescent="0.25">
      <c r="A4" s="12" t="s">
        <v>18</v>
      </c>
      <c r="B4" s="7" t="s">
        <v>68</v>
      </c>
      <c r="C4" s="13">
        <v>44562</v>
      </c>
      <c r="D4" s="8">
        <v>489325</v>
      </c>
      <c r="E4" s="8">
        <v>396353.25</v>
      </c>
      <c r="F4" s="8">
        <v>225921.35249999998</v>
      </c>
      <c r="G4" s="8">
        <v>128775.17092499998</v>
      </c>
    </row>
    <row r="5" spans="1:7" x14ac:dyDescent="0.25">
      <c r="A5" s="12" t="s">
        <v>18</v>
      </c>
      <c r="B5" s="7" t="s">
        <v>66</v>
      </c>
      <c r="C5" s="13">
        <v>44562</v>
      </c>
      <c r="D5" s="8">
        <v>854335</v>
      </c>
      <c r="E5" s="8">
        <v>734728.1</v>
      </c>
      <c r="F5" s="8">
        <v>308585.80200000003</v>
      </c>
      <c r="G5" s="8">
        <v>129606.03684000003</v>
      </c>
    </row>
    <row r="6" spans="1:7" x14ac:dyDescent="0.25">
      <c r="A6" s="12" t="s">
        <v>18</v>
      </c>
      <c r="B6" s="7" t="s">
        <v>67</v>
      </c>
      <c r="C6" s="13">
        <v>44562</v>
      </c>
      <c r="D6" s="8">
        <v>870205</v>
      </c>
      <c r="E6" s="8">
        <v>757078.35</v>
      </c>
      <c r="F6" s="8">
        <v>295260.55650000001</v>
      </c>
      <c r="G6" s="8">
        <v>115151.617035</v>
      </c>
    </row>
    <row r="7" spans="1:7" x14ac:dyDescent="0.25">
      <c r="A7" s="12" t="s">
        <v>18</v>
      </c>
      <c r="B7" s="7" t="s">
        <v>69</v>
      </c>
      <c r="C7" s="13">
        <v>44562</v>
      </c>
      <c r="D7" s="8">
        <v>968070</v>
      </c>
      <c r="E7" s="8">
        <v>851901.6</v>
      </c>
      <c r="F7" s="8">
        <v>306684.576</v>
      </c>
      <c r="G7" s="8">
        <v>110406.44735999999</v>
      </c>
    </row>
    <row r="8" spans="1:7" x14ac:dyDescent="0.25">
      <c r="A8" s="12" t="s">
        <v>18</v>
      </c>
      <c r="B8" s="7" t="s">
        <v>97</v>
      </c>
      <c r="C8" s="13">
        <v>44562</v>
      </c>
      <c r="D8" s="8">
        <v>227469.99999999997</v>
      </c>
      <c r="E8" s="8">
        <v>202448.3</v>
      </c>
      <c r="F8" s="8">
        <v>66807.938999999998</v>
      </c>
      <c r="G8" s="8">
        <v>22046.619870000002</v>
      </c>
    </row>
    <row r="9" spans="1:7" x14ac:dyDescent="0.25">
      <c r="A9" s="12" t="s">
        <v>18</v>
      </c>
      <c r="B9" s="7" t="s">
        <v>65</v>
      </c>
      <c r="C9" s="13">
        <v>44562</v>
      </c>
      <c r="D9" s="8">
        <v>1375400</v>
      </c>
      <c r="E9" s="8">
        <v>1141582</v>
      </c>
      <c r="F9" s="8">
        <v>582206.82000000007</v>
      </c>
      <c r="G9" s="8">
        <v>296925.47820000001</v>
      </c>
    </row>
    <row r="10" spans="1:7" x14ac:dyDescent="0.25">
      <c r="A10" s="12" t="s">
        <v>18</v>
      </c>
      <c r="B10" s="7" t="s">
        <v>70</v>
      </c>
      <c r="C10" s="13">
        <v>44593</v>
      </c>
      <c r="D10" s="8">
        <v>866025.9</v>
      </c>
      <c r="E10" s="8">
        <v>749881.30500000005</v>
      </c>
      <c r="F10" s="8">
        <v>297200.66399999993</v>
      </c>
      <c r="G10" s="8">
        <v>139312.81124999997</v>
      </c>
    </row>
    <row r="11" spans="1:7" x14ac:dyDescent="0.25">
      <c r="A11" s="12" t="s">
        <v>18</v>
      </c>
      <c r="B11" s="7" t="s">
        <v>71</v>
      </c>
      <c r="C11" s="13">
        <v>44593</v>
      </c>
      <c r="D11" s="8">
        <v>634773.55000000005</v>
      </c>
      <c r="E11" s="8">
        <v>516631.71550000005</v>
      </c>
      <c r="F11" s="8">
        <v>268699.64371500001</v>
      </c>
      <c r="G11" s="8">
        <v>127723.6364688</v>
      </c>
    </row>
    <row r="12" spans="1:7" x14ac:dyDescent="0.25">
      <c r="A12" s="12" t="s">
        <v>18</v>
      </c>
      <c r="B12" s="7" t="s">
        <v>68</v>
      </c>
      <c r="C12" s="13">
        <v>44593</v>
      </c>
      <c r="D12" s="8">
        <v>538257.5</v>
      </c>
      <c r="E12" s="8">
        <v>380499.12</v>
      </c>
      <c r="F12" s="8">
        <v>246254.274225</v>
      </c>
      <c r="G12" s="8">
        <v>141652.68801749998</v>
      </c>
    </row>
    <row r="13" spans="1:7" x14ac:dyDescent="0.25">
      <c r="A13" s="12" t="s">
        <v>18</v>
      </c>
      <c r="B13" s="7" t="s">
        <v>66</v>
      </c>
      <c r="C13" s="13">
        <v>44593</v>
      </c>
      <c r="D13" s="8">
        <v>871421.70000000007</v>
      </c>
      <c r="E13" s="8">
        <v>800853.62900000007</v>
      </c>
      <c r="F13" s="8">
        <v>324015.09210000007</v>
      </c>
      <c r="G13" s="8">
        <v>123125.73499800003</v>
      </c>
    </row>
    <row r="14" spans="1:7" x14ac:dyDescent="0.25">
      <c r="A14" s="12" t="s">
        <v>18</v>
      </c>
      <c r="B14" s="7" t="s">
        <v>67</v>
      </c>
      <c r="C14" s="13">
        <v>44593</v>
      </c>
      <c r="D14" s="8">
        <v>931119.35000000009</v>
      </c>
      <c r="E14" s="8">
        <v>787361.48400000005</v>
      </c>
      <c r="F14" s="8">
        <v>280497.52867500001</v>
      </c>
      <c r="G14" s="8">
        <v>111697.06852395</v>
      </c>
    </row>
    <row r="15" spans="1:7" x14ac:dyDescent="0.25">
      <c r="A15" s="12" t="s">
        <v>18</v>
      </c>
      <c r="B15" s="7" t="s">
        <v>69</v>
      </c>
      <c r="C15" s="13">
        <v>44593</v>
      </c>
      <c r="D15" s="8">
        <v>997112.1</v>
      </c>
      <c r="E15" s="8">
        <v>894496.68</v>
      </c>
      <c r="F15" s="8">
        <v>322018.80480000004</v>
      </c>
      <c r="G15" s="8">
        <v>114822.70525439999</v>
      </c>
    </row>
    <row r="16" spans="1:7" x14ac:dyDescent="0.25">
      <c r="A16" s="12" t="s">
        <v>18</v>
      </c>
      <c r="B16" s="7" t="s">
        <v>97</v>
      </c>
      <c r="C16" s="13">
        <v>44593</v>
      </c>
      <c r="D16" s="8">
        <v>225195.29999999996</v>
      </c>
      <c r="E16" s="8">
        <v>208521.74899999998</v>
      </c>
      <c r="F16" s="8">
        <v>70816.415340000007</v>
      </c>
      <c r="G16" s="8">
        <v>21605.687472600002</v>
      </c>
    </row>
    <row r="17" spans="1:7" x14ac:dyDescent="0.25">
      <c r="A17" s="12" t="s">
        <v>18</v>
      </c>
      <c r="B17" s="7" t="s">
        <v>65</v>
      </c>
      <c r="C17" s="13">
        <v>44593</v>
      </c>
      <c r="D17" s="8">
        <v>1361646</v>
      </c>
      <c r="E17" s="8">
        <v>1244324.3800000001</v>
      </c>
      <c r="F17" s="8">
        <v>593850.95640000002</v>
      </c>
      <c r="G17" s="8">
        <v>299894.73298199999</v>
      </c>
    </row>
    <row r="18" spans="1:7" x14ac:dyDescent="0.25">
      <c r="A18" s="12" t="s">
        <v>18</v>
      </c>
      <c r="B18" s="7" t="s">
        <v>70</v>
      </c>
      <c r="C18" s="13">
        <v>44621</v>
      </c>
      <c r="D18" s="8">
        <v>623538.64800000004</v>
      </c>
      <c r="E18" s="8">
        <v>532415.72655000002</v>
      </c>
      <c r="F18" s="8">
        <v>234788.52455999996</v>
      </c>
      <c r="G18" s="8">
        <v>108663.99277499998</v>
      </c>
    </row>
    <row r="19" spans="1:7" x14ac:dyDescent="0.25">
      <c r="A19" s="12" t="s">
        <v>18</v>
      </c>
      <c r="B19" s="7" t="s">
        <v>71</v>
      </c>
      <c r="C19" s="13">
        <v>44621</v>
      </c>
      <c r="D19" s="8">
        <v>469732.42700000003</v>
      </c>
      <c r="E19" s="8">
        <v>392640.10378000006</v>
      </c>
      <c r="F19" s="8">
        <v>201524.73278625001</v>
      </c>
      <c r="G19" s="8">
        <v>100901.672810352</v>
      </c>
    </row>
    <row r="20" spans="1:7" x14ac:dyDescent="0.25">
      <c r="A20" s="12" t="s">
        <v>18</v>
      </c>
      <c r="B20" s="7" t="s">
        <v>68</v>
      </c>
      <c r="C20" s="13">
        <v>44621</v>
      </c>
      <c r="D20" s="8">
        <v>382162.82499999995</v>
      </c>
      <c r="E20" s="8">
        <v>277764.35759999999</v>
      </c>
      <c r="F20" s="8">
        <v>192078.33389550002</v>
      </c>
      <c r="G20" s="8">
        <v>107656.04289329999</v>
      </c>
    </row>
    <row r="21" spans="1:7" x14ac:dyDescent="0.25">
      <c r="A21" s="12" t="s">
        <v>18</v>
      </c>
      <c r="B21" s="7" t="s">
        <v>66</v>
      </c>
      <c r="C21" s="13">
        <v>44621</v>
      </c>
      <c r="D21" s="8">
        <v>662280.49200000009</v>
      </c>
      <c r="E21" s="8">
        <v>616657.29433000006</v>
      </c>
      <c r="F21" s="8">
        <v>252731.77183800007</v>
      </c>
      <c r="G21" s="8">
        <v>94806.815948460018</v>
      </c>
    </row>
    <row r="22" spans="1:7" x14ac:dyDescent="0.25">
      <c r="A22" s="12" t="s">
        <v>18</v>
      </c>
      <c r="B22" s="7" t="s">
        <v>67</v>
      </c>
      <c r="C22" s="13">
        <v>44621</v>
      </c>
      <c r="D22" s="8">
        <v>744895.4800000001</v>
      </c>
      <c r="E22" s="8">
        <v>551153.03879999998</v>
      </c>
      <c r="F22" s="8">
        <v>224398.02294000002</v>
      </c>
      <c r="G22" s="8">
        <v>80421.889337243992</v>
      </c>
    </row>
    <row r="23" spans="1:7" x14ac:dyDescent="0.25">
      <c r="A23" s="12" t="s">
        <v>18</v>
      </c>
      <c r="B23" s="7" t="s">
        <v>69</v>
      </c>
      <c r="C23" s="13">
        <v>44621</v>
      </c>
      <c r="D23" s="8">
        <v>747834.07499999995</v>
      </c>
      <c r="E23" s="8">
        <v>652982.57640000002</v>
      </c>
      <c r="F23" s="8">
        <v>251174.66774400003</v>
      </c>
      <c r="G23" s="8">
        <v>87265.255993343992</v>
      </c>
    </row>
    <row r="24" spans="1:7" x14ac:dyDescent="0.25">
      <c r="A24" s="12" t="s">
        <v>18</v>
      </c>
      <c r="B24" s="7" t="s">
        <v>97</v>
      </c>
      <c r="C24" s="13">
        <v>44621</v>
      </c>
      <c r="D24" s="8">
        <v>164392.56899999996</v>
      </c>
      <c r="E24" s="8">
        <v>160561.74672999998</v>
      </c>
      <c r="F24" s="8">
        <v>49571.490738</v>
      </c>
      <c r="G24" s="8">
        <v>16420.322479176</v>
      </c>
    </row>
    <row r="25" spans="1:7" x14ac:dyDescent="0.25">
      <c r="A25" s="12" t="s">
        <v>18</v>
      </c>
      <c r="B25" s="7" t="s">
        <v>65</v>
      </c>
      <c r="C25" s="13">
        <v>44621</v>
      </c>
      <c r="D25" s="8">
        <v>1048467.42</v>
      </c>
      <c r="E25" s="8">
        <v>908356.79740000004</v>
      </c>
      <c r="F25" s="8">
        <v>451326.72686400003</v>
      </c>
      <c r="G25" s="8">
        <v>239915.78638559999</v>
      </c>
    </row>
    <row r="26" spans="1:7" x14ac:dyDescent="0.25">
      <c r="A26" s="12" t="s">
        <v>18</v>
      </c>
      <c r="B26" s="7" t="s">
        <v>70</v>
      </c>
      <c r="C26" s="13">
        <v>44652</v>
      </c>
      <c r="D26" s="8">
        <v>455183.21304</v>
      </c>
      <c r="E26" s="8">
        <v>383339.32311599999</v>
      </c>
      <c r="F26" s="8">
        <v>169047.73768319996</v>
      </c>
      <c r="G26" s="8">
        <v>85844.554292249988</v>
      </c>
    </row>
    <row r="27" spans="1:7" x14ac:dyDescent="0.25">
      <c r="A27" s="12" t="s">
        <v>18</v>
      </c>
      <c r="B27" s="7" t="s">
        <v>71</v>
      </c>
      <c r="C27" s="13">
        <v>44652</v>
      </c>
      <c r="D27" s="8">
        <v>356996.64452000003</v>
      </c>
      <c r="E27" s="8">
        <v>310185.68198620004</v>
      </c>
      <c r="F27" s="8">
        <v>145097.80760609999</v>
      </c>
      <c r="G27" s="8">
        <v>71640.187695349916</v>
      </c>
    </row>
    <row r="28" spans="1:7" x14ac:dyDescent="0.25">
      <c r="A28" s="12" t="s">
        <v>18</v>
      </c>
      <c r="B28" s="7" t="s">
        <v>68</v>
      </c>
      <c r="C28" s="13">
        <v>44652</v>
      </c>
      <c r="D28" s="8">
        <v>271335.60574999993</v>
      </c>
      <c r="E28" s="8">
        <v>205545.62462399999</v>
      </c>
      <c r="F28" s="8">
        <v>142137.96708267002</v>
      </c>
      <c r="G28" s="8">
        <v>78588.91131210899</v>
      </c>
    </row>
    <row r="29" spans="1:7" x14ac:dyDescent="0.25">
      <c r="A29" s="12" t="s">
        <v>18</v>
      </c>
      <c r="B29" s="7" t="s">
        <v>66</v>
      </c>
      <c r="C29" s="13">
        <v>44652</v>
      </c>
      <c r="D29" s="8">
        <v>523201.5886800001</v>
      </c>
      <c r="E29" s="8">
        <v>474826.11663410004</v>
      </c>
      <c r="F29" s="8">
        <v>189548.82887850006</v>
      </c>
      <c r="G29" s="8">
        <v>67312.839323406602</v>
      </c>
    </row>
    <row r="30" spans="1:7" x14ac:dyDescent="0.25">
      <c r="A30" s="12" t="s">
        <v>18</v>
      </c>
      <c r="B30" s="7" t="s">
        <v>67</v>
      </c>
      <c r="C30" s="13">
        <v>44652</v>
      </c>
      <c r="D30" s="8">
        <v>528875.79080000008</v>
      </c>
      <c r="E30" s="8">
        <v>391318.65754799999</v>
      </c>
      <c r="F30" s="8">
        <v>168298.51720500001</v>
      </c>
      <c r="G30" s="8">
        <v>64337.511469795194</v>
      </c>
    </row>
    <row r="31" spans="1:7" x14ac:dyDescent="0.25">
      <c r="A31" s="12" t="s">
        <v>18</v>
      </c>
      <c r="B31" s="7" t="s">
        <v>69</v>
      </c>
      <c r="C31" s="13">
        <v>44652</v>
      </c>
      <c r="D31" s="8">
        <v>568353.897</v>
      </c>
      <c r="E31" s="8">
        <v>509326.40959200001</v>
      </c>
      <c r="F31" s="8">
        <v>200939.73419520003</v>
      </c>
      <c r="G31" s="8">
        <v>62830.984315207672</v>
      </c>
    </row>
    <row r="32" spans="1:7" x14ac:dyDescent="0.25">
      <c r="A32" s="12" t="s">
        <v>18</v>
      </c>
      <c r="B32" s="7" t="s">
        <v>97</v>
      </c>
      <c r="C32" s="13">
        <v>44652</v>
      </c>
      <c r="D32" s="8">
        <v>129870.12950999997</v>
      </c>
      <c r="E32" s="8">
        <v>126843.77991669999</v>
      </c>
      <c r="F32" s="8">
        <v>36187.188238739996</v>
      </c>
      <c r="G32" s="8">
        <v>12315.241859382</v>
      </c>
    </row>
    <row r="33" spans="1:7" x14ac:dyDescent="0.25">
      <c r="A33" s="12" t="s">
        <v>18</v>
      </c>
      <c r="B33" s="7" t="s">
        <v>65</v>
      </c>
      <c r="C33" s="13">
        <v>44652</v>
      </c>
      <c r="D33" s="8">
        <v>786350.56500000006</v>
      </c>
      <c r="E33" s="8">
        <v>717601.86994600005</v>
      </c>
      <c r="F33" s="8">
        <v>329468.51061072003</v>
      </c>
      <c r="G33" s="8">
        <v>189533.471244624</v>
      </c>
    </row>
    <row r="34" spans="1:7" x14ac:dyDescent="0.25">
      <c r="A34" s="12" t="s">
        <v>18</v>
      </c>
      <c r="B34" s="7" t="s">
        <v>70</v>
      </c>
      <c r="C34" s="13">
        <v>44682</v>
      </c>
      <c r="D34" s="8">
        <v>687964.5</v>
      </c>
      <c r="E34" s="8">
        <v>584769.82499999995</v>
      </c>
      <c r="F34" s="8">
        <v>263146.42124999996</v>
      </c>
      <c r="G34" s="8">
        <v>118415.88956249997</v>
      </c>
    </row>
    <row r="35" spans="1:7" x14ac:dyDescent="0.25">
      <c r="A35" s="12" t="s">
        <v>18</v>
      </c>
      <c r="B35" s="7" t="s">
        <v>71</v>
      </c>
      <c r="C35" s="13">
        <v>44682</v>
      </c>
      <c r="D35" s="8">
        <v>523842.25</v>
      </c>
      <c r="E35" s="8">
        <v>434789.0675</v>
      </c>
      <c r="F35" s="8">
        <v>221742.424425</v>
      </c>
      <c r="G35" s="8">
        <v>113088.63645675</v>
      </c>
    </row>
    <row r="36" spans="1:7" x14ac:dyDescent="0.25">
      <c r="A36" s="12" t="s">
        <v>18</v>
      </c>
      <c r="B36" s="7" t="s">
        <v>68</v>
      </c>
      <c r="C36" s="13">
        <v>44682</v>
      </c>
      <c r="D36" s="8">
        <v>415926.25</v>
      </c>
      <c r="E36" s="8">
        <v>336900.26250000001</v>
      </c>
      <c r="F36" s="8">
        <v>192033.14962499999</v>
      </c>
      <c r="G36" s="8">
        <v>109458.89528624999</v>
      </c>
    </row>
    <row r="37" spans="1:7" x14ac:dyDescent="0.25">
      <c r="A37" s="12" t="s">
        <v>18</v>
      </c>
      <c r="B37" s="7" t="s">
        <v>66</v>
      </c>
      <c r="C37" s="13">
        <v>44682</v>
      </c>
      <c r="D37" s="8">
        <v>726184.75</v>
      </c>
      <c r="E37" s="8">
        <v>624518.88500000001</v>
      </c>
      <c r="F37" s="8">
        <v>262297.93170000002</v>
      </c>
      <c r="G37" s="8">
        <v>110165.13131400003</v>
      </c>
    </row>
    <row r="38" spans="1:7" x14ac:dyDescent="0.25">
      <c r="A38" s="12" t="s">
        <v>18</v>
      </c>
      <c r="B38" s="7" t="s">
        <v>67</v>
      </c>
      <c r="C38" s="13">
        <v>44682</v>
      </c>
      <c r="D38" s="8">
        <v>739674.25</v>
      </c>
      <c r="E38" s="8">
        <v>643516.59749999992</v>
      </c>
      <c r="F38" s="8">
        <v>250971.47302499998</v>
      </c>
      <c r="G38" s="8">
        <v>97878.874479749997</v>
      </c>
    </row>
    <row r="39" spans="1:7" x14ac:dyDescent="0.25">
      <c r="A39" s="12" t="s">
        <v>18</v>
      </c>
      <c r="B39" s="7" t="s">
        <v>69</v>
      </c>
      <c r="C39" s="13">
        <v>44682</v>
      </c>
      <c r="D39" s="8">
        <v>822859.5</v>
      </c>
      <c r="E39" s="8">
        <v>724116.36</v>
      </c>
      <c r="F39" s="8">
        <v>260681.88959999999</v>
      </c>
      <c r="G39" s="8">
        <v>93845.480255999995</v>
      </c>
    </row>
    <row r="40" spans="1:7" x14ac:dyDescent="0.25">
      <c r="A40" s="12" t="s">
        <v>18</v>
      </c>
      <c r="B40" s="7" t="s">
        <v>97</v>
      </c>
      <c r="C40" s="13">
        <v>44682</v>
      </c>
      <c r="D40" s="8">
        <v>193349.49999999997</v>
      </c>
      <c r="E40" s="8">
        <v>172081.05499999999</v>
      </c>
      <c r="F40" s="8">
        <v>56786.748149999999</v>
      </c>
      <c r="G40" s="8">
        <v>18739.626889500003</v>
      </c>
    </row>
    <row r="41" spans="1:7" x14ac:dyDescent="0.25">
      <c r="A41" s="12" t="s">
        <v>18</v>
      </c>
      <c r="B41" s="7" t="s">
        <v>65</v>
      </c>
      <c r="C41" s="13">
        <v>44682</v>
      </c>
      <c r="D41" s="8">
        <v>1169090</v>
      </c>
      <c r="E41" s="8">
        <v>970344.7</v>
      </c>
      <c r="F41" s="8">
        <v>494875.79700000002</v>
      </c>
      <c r="G41" s="8">
        <v>252386.65647000002</v>
      </c>
    </row>
    <row r="42" spans="1:7" x14ac:dyDescent="0.25">
      <c r="A42" s="12" t="s">
        <v>18</v>
      </c>
      <c r="B42" s="7" t="s">
        <v>70</v>
      </c>
      <c r="C42" s="13">
        <v>44713</v>
      </c>
      <c r="D42" s="8">
        <v>736122.01500000001</v>
      </c>
      <c r="E42" s="8">
        <v>637399.10924999998</v>
      </c>
      <c r="F42" s="8">
        <v>252620.56439999994</v>
      </c>
      <c r="G42" s="8">
        <v>118415.88956249997</v>
      </c>
    </row>
    <row r="43" spans="1:7" x14ac:dyDescent="0.25">
      <c r="A43" s="12" t="s">
        <v>18</v>
      </c>
      <c r="B43" s="7" t="s">
        <v>71</v>
      </c>
      <c r="C43" s="13">
        <v>44713</v>
      </c>
      <c r="D43" s="8">
        <v>539557.51750000007</v>
      </c>
      <c r="E43" s="8">
        <v>439136.95817500004</v>
      </c>
      <c r="F43" s="8">
        <v>228394.69715774999</v>
      </c>
      <c r="G43" s="8">
        <v>108565.09099847999</v>
      </c>
    </row>
    <row r="44" spans="1:7" x14ac:dyDescent="0.25">
      <c r="A44" s="12" t="s">
        <v>18</v>
      </c>
      <c r="B44" s="7" t="s">
        <v>68</v>
      </c>
      <c r="C44" s="13">
        <v>44713</v>
      </c>
      <c r="D44" s="8">
        <v>457518.875</v>
      </c>
      <c r="E44" s="8">
        <v>323424.25199999998</v>
      </c>
      <c r="F44" s="8">
        <v>209316.13309125</v>
      </c>
      <c r="G44" s="8">
        <v>120404.78481487498</v>
      </c>
    </row>
    <row r="45" spans="1:7" x14ac:dyDescent="0.25">
      <c r="A45" s="12" t="s">
        <v>18</v>
      </c>
      <c r="B45" s="7" t="s">
        <v>66</v>
      </c>
      <c r="C45" s="13">
        <v>44713</v>
      </c>
      <c r="D45" s="8">
        <v>740708.44500000007</v>
      </c>
      <c r="E45" s="8">
        <v>680725.58465000009</v>
      </c>
      <c r="F45" s="8">
        <v>275412.82828500005</v>
      </c>
      <c r="G45" s="8">
        <v>104656.87474830002</v>
      </c>
    </row>
    <row r="46" spans="1:7" x14ac:dyDescent="0.25">
      <c r="A46" s="12" t="s">
        <v>18</v>
      </c>
      <c r="B46" s="7" t="s">
        <v>67</v>
      </c>
      <c r="C46" s="13">
        <v>44713</v>
      </c>
      <c r="D46" s="8">
        <v>791451.44750000001</v>
      </c>
      <c r="E46" s="8">
        <v>669257.26140000008</v>
      </c>
      <c r="F46" s="8">
        <v>238422.89937375</v>
      </c>
      <c r="G46" s="8">
        <v>94942.508245357501</v>
      </c>
    </row>
    <row r="47" spans="1:7" x14ac:dyDescent="0.25">
      <c r="A47" s="12" t="s">
        <v>18</v>
      </c>
      <c r="B47" s="7" t="s">
        <v>69</v>
      </c>
      <c r="C47" s="13">
        <v>44713</v>
      </c>
      <c r="D47" s="8">
        <v>847545.28499999992</v>
      </c>
      <c r="E47" s="8">
        <v>760322.17800000007</v>
      </c>
      <c r="F47" s="8">
        <v>273715.98408000002</v>
      </c>
      <c r="G47" s="8">
        <v>97599.299466239987</v>
      </c>
    </row>
    <row r="48" spans="1:7" x14ac:dyDescent="0.25">
      <c r="A48" s="12" t="s">
        <v>18</v>
      </c>
      <c r="B48" s="7" t="s">
        <v>97</v>
      </c>
      <c r="C48" s="13">
        <v>44713</v>
      </c>
      <c r="D48" s="8">
        <v>191416.00499999995</v>
      </c>
      <c r="E48" s="8">
        <v>177243.48664999998</v>
      </c>
      <c r="F48" s="8">
        <v>60193.953039000007</v>
      </c>
      <c r="G48" s="8">
        <v>18364.83435171</v>
      </c>
    </row>
    <row r="49" spans="1:7" x14ac:dyDescent="0.25">
      <c r="A49" s="12" t="s">
        <v>18</v>
      </c>
      <c r="B49" s="7" t="s">
        <v>65</v>
      </c>
      <c r="C49" s="13">
        <v>44713</v>
      </c>
      <c r="D49" s="8">
        <v>1157399.0999999999</v>
      </c>
      <c r="E49" s="8">
        <v>1057675.723</v>
      </c>
      <c r="F49" s="8">
        <v>504773.31294000003</v>
      </c>
      <c r="G49" s="8">
        <v>254910.52303469999</v>
      </c>
    </row>
    <row r="50" spans="1:7" x14ac:dyDescent="0.25">
      <c r="A50" s="12" t="s">
        <v>18</v>
      </c>
      <c r="B50" s="7" t="s">
        <v>70</v>
      </c>
      <c r="C50" s="13">
        <v>44743</v>
      </c>
      <c r="D50" s="8">
        <v>793182.6</v>
      </c>
      <c r="E50" s="8">
        <v>653566.27500000002</v>
      </c>
      <c r="F50" s="8">
        <v>303392.34449999995</v>
      </c>
      <c r="G50" s="8">
        <v>151850.96426249997</v>
      </c>
    </row>
    <row r="51" spans="1:7" x14ac:dyDescent="0.25">
      <c r="A51" s="12" t="s">
        <v>18</v>
      </c>
      <c r="B51" s="7" t="s">
        <v>71</v>
      </c>
      <c r="C51" s="13">
        <v>44743</v>
      </c>
      <c r="D51" s="8">
        <v>671750.65</v>
      </c>
      <c r="E51" s="8">
        <v>485940.72250000003</v>
      </c>
      <c r="F51" s="8">
        <v>268699.64371500001</v>
      </c>
      <c r="G51" s="8">
        <v>131715.00010845001</v>
      </c>
    </row>
    <row r="52" spans="1:7" x14ac:dyDescent="0.25">
      <c r="A52" s="12" t="s">
        <v>18</v>
      </c>
      <c r="B52" s="7" t="s">
        <v>68</v>
      </c>
      <c r="C52" s="13">
        <v>44743</v>
      </c>
      <c r="D52" s="8">
        <v>484431.75</v>
      </c>
      <c r="E52" s="8">
        <v>412207.38</v>
      </c>
      <c r="F52" s="8">
        <v>214625.28487499998</v>
      </c>
      <c r="G52" s="8">
        <v>127487.41921574998</v>
      </c>
    </row>
    <row r="53" spans="1:7" x14ac:dyDescent="0.25">
      <c r="A53" s="12" t="s">
        <v>18</v>
      </c>
      <c r="B53" s="7" t="s">
        <v>66</v>
      </c>
      <c r="C53" s="13">
        <v>44743</v>
      </c>
      <c r="D53" s="8">
        <v>939768.50000000012</v>
      </c>
      <c r="E53" s="8">
        <v>808200.91</v>
      </c>
      <c r="F53" s="8">
        <v>305499.94398000004</v>
      </c>
      <c r="G53" s="8">
        <v>128309.97647160004</v>
      </c>
    </row>
    <row r="54" spans="1:7" x14ac:dyDescent="0.25">
      <c r="A54" s="12" t="s">
        <v>18</v>
      </c>
      <c r="B54" s="7" t="s">
        <v>67</v>
      </c>
      <c r="C54" s="13">
        <v>44743</v>
      </c>
      <c r="D54" s="8">
        <v>861502.95</v>
      </c>
      <c r="E54" s="8">
        <v>817644.61800000002</v>
      </c>
      <c r="F54" s="8">
        <v>301165.76763000002</v>
      </c>
      <c r="G54" s="8">
        <v>120909.19788675001</v>
      </c>
    </row>
    <row r="55" spans="1:7" x14ac:dyDescent="0.25">
      <c r="A55" s="12" t="s">
        <v>18</v>
      </c>
      <c r="B55" s="7" t="s">
        <v>69</v>
      </c>
      <c r="C55" s="13">
        <v>44743</v>
      </c>
      <c r="D55" s="8">
        <v>968070</v>
      </c>
      <c r="E55" s="8">
        <v>877458.64800000004</v>
      </c>
      <c r="F55" s="8">
        <v>331219.34208000003</v>
      </c>
      <c r="G55" s="8">
        <v>112614.5763072</v>
      </c>
    </row>
    <row r="56" spans="1:7" x14ac:dyDescent="0.25">
      <c r="A56" s="12" t="s">
        <v>18</v>
      </c>
      <c r="B56" s="7" t="s">
        <v>97</v>
      </c>
      <c r="C56" s="13">
        <v>44743</v>
      </c>
      <c r="D56" s="8">
        <v>229744.69999999998</v>
      </c>
      <c r="E56" s="8">
        <v>216619.68100000001</v>
      </c>
      <c r="F56" s="8">
        <v>68144.097779999996</v>
      </c>
      <c r="G56" s="8">
        <v>21605.687472600002</v>
      </c>
    </row>
    <row r="57" spans="1:7" x14ac:dyDescent="0.25">
      <c r="A57" s="12" t="s">
        <v>18</v>
      </c>
      <c r="B57" s="7" t="s">
        <v>65</v>
      </c>
      <c r="C57" s="13">
        <v>44743</v>
      </c>
      <c r="D57" s="8">
        <v>1444170</v>
      </c>
      <c r="E57" s="8">
        <v>1232908.56</v>
      </c>
      <c r="F57" s="8">
        <v>611317.16100000008</v>
      </c>
      <c r="G57" s="8">
        <v>293956.22341800004</v>
      </c>
    </row>
    <row r="58" spans="1:7" x14ac:dyDescent="0.25">
      <c r="A58" s="12" t="s">
        <v>18</v>
      </c>
      <c r="B58" s="7" t="s">
        <v>70</v>
      </c>
      <c r="C58" s="13">
        <v>44774</v>
      </c>
      <c r="D58" s="8">
        <v>692820.72000000009</v>
      </c>
      <c r="E58" s="8">
        <v>547413.35265000002</v>
      </c>
      <c r="F58" s="8">
        <v>208040.46479999993</v>
      </c>
      <c r="G58" s="8">
        <v>105877.73654999997</v>
      </c>
    </row>
    <row r="59" spans="1:7" x14ac:dyDescent="0.25">
      <c r="A59" s="12" t="s">
        <v>18</v>
      </c>
      <c r="B59" s="7" t="s">
        <v>71</v>
      </c>
      <c r="C59" s="13">
        <v>44774</v>
      </c>
      <c r="D59" s="8">
        <v>482427.89800000004</v>
      </c>
      <c r="E59" s="8">
        <v>361642.20085000002</v>
      </c>
      <c r="F59" s="8">
        <v>206898.72566055</v>
      </c>
      <c r="G59" s="8">
        <v>90683.781892847997</v>
      </c>
    </row>
    <row r="60" spans="1:7" x14ac:dyDescent="0.25">
      <c r="A60" s="12" t="s">
        <v>18</v>
      </c>
      <c r="B60" s="7" t="s">
        <v>68</v>
      </c>
      <c r="C60" s="13">
        <v>44774</v>
      </c>
      <c r="D60" s="8">
        <v>387545.39999999997</v>
      </c>
      <c r="E60" s="8">
        <v>266349.38399999996</v>
      </c>
      <c r="F60" s="8">
        <v>197003.41938000001</v>
      </c>
      <c r="G60" s="8">
        <v>101989.93537259998</v>
      </c>
    </row>
    <row r="61" spans="1:7" x14ac:dyDescent="0.25">
      <c r="A61" s="12" t="s">
        <v>18</v>
      </c>
      <c r="B61" s="7" t="s">
        <v>66</v>
      </c>
      <c r="C61" s="13">
        <v>44774</v>
      </c>
      <c r="D61" s="8">
        <v>679708.92600000009</v>
      </c>
      <c r="E61" s="8">
        <v>600640.22175000003</v>
      </c>
      <c r="F61" s="8">
        <v>233290.86631200003</v>
      </c>
      <c r="G61" s="8">
        <v>88650.52919856002</v>
      </c>
    </row>
    <row r="62" spans="1:7" x14ac:dyDescent="0.25">
      <c r="A62" s="12" t="s">
        <v>18</v>
      </c>
      <c r="B62" s="7" t="s">
        <v>67</v>
      </c>
      <c r="C62" s="13">
        <v>44774</v>
      </c>
      <c r="D62" s="8">
        <v>679717.12550000008</v>
      </c>
      <c r="E62" s="8">
        <v>614141.95752000005</v>
      </c>
      <c r="F62" s="8">
        <v>196348.27007249999</v>
      </c>
      <c r="G62" s="8">
        <v>78187.947966765001</v>
      </c>
    </row>
    <row r="63" spans="1:7" x14ac:dyDescent="0.25">
      <c r="A63" s="12" t="s">
        <v>18</v>
      </c>
      <c r="B63" s="7" t="s">
        <v>69</v>
      </c>
      <c r="C63" s="13">
        <v>44774</v>
      </c>
      <c r="D63" s="8">
        <v>717920.71199999994</v>
      </c>
      <c r="E63" s="8">
        <v>697707.41040000005</v>
      </c>
      <c r="F63" s="8">
        <v>251174.66774400003</v>
      </c>
      <c r="G63" s="8">
        <v>91858.164203519991</v>
      </c>
    </row>
    <row r="64" spans="1:7" x14ac:dyDescent="0.25">
      <c r="A64" s="12" t="s">
        <v>18</v>
      </c>
      <c r="B64" s="7" t="s">
        <v>97</v>
      </c>
      <c r="C64" s="13">
        <v>44774</v>
      </c>
      <c r="D64" s="8">
        <v>162140.61599999995</v>
      </c>
      <c r="E64" s="8">
        <v>160561.74672999998</v>
      </c>
      <c r="F64" s="8">
        <v>50987.819044800002</v>
      </c>
      <c r="G64" s="8">
        <v>16420.322479176</v>
      </c>
    </row>
    <row r="65" spans="1:7" x14ac:dyDescent="0.25">
      <c r="A65" s="12" t="s">
        <v>18</v>
      </c>
      <c r="B65" s="7" t="s">
        <v>65</v>
      </c>
      <c r="C65" s="13">
        <v>44774</v>
      </c>
      <c r="D65" s="8">
        <v>953152.2</v>
      </c>
      <c r="E65" s="8">
        <v>883470.30980000005</v>
      </c>
      <c r="F65" s="8">
        <v>445388.21730000002</v>
      </c>
      <c r="G65" s="8">
        <v>230918.94439614</v>
      </c>
    </row>
    <row r="66" spans="1:7" x14ac:dyDescent="0.25">
      <c r="A66" s="12" t="s">
        <v>18</v>
      </c>
      <c r="B66" s="7" t="s">
        <v>70</v>
      </c>
      <c r="C66" s="13">
        <v>44805</v>
      </c>
      <c r="D66" s="8">
        <v>436477.05359999998</v>
      </c>
      <c r="E66" s="8">
        <v>383339.32311599999</v>
      </c>
      <c r="F66" s="8">
        <v>183135.04915679997</v>
      </c>
      <c r="G66" s="8">
        <v>85844.554292249988</v>
      </c>
    </row>
    <row r="67" spans="1:7" x14ac:dyDescent="0.25">
      <c r="A67" s="12" t="s">
        <v>18</v>
      </c>
      <c r="B67" s="7" t="s">
        <v>71</v>
      </c>
      <c r="C67" s="13">
        <v>44805</v>
      </c>
      <c r="D67" s="8">
        <v>375785.94160000002</v>
      </c>
      <c r="E67" s="8">
        <v>278774.47368380002</v>
      </c>
      <c r="F67" s="8">
        <v>147113.0549339625</v>
      </c>
      <c r="G67" s="8">
        <v>72649.204423453441</v>
      </c>
    </row>
    <row r="68" spans="1:7" x14ac:dyDescent="0.25">
      <c r="A68" s="12" t="s">
        <v>18</v>
      </c>
      <c r="B68" s="7" t="s">
        <v>68</v>
      </c>
      <c r="C68" s="13">
        <v>44805</v>
      </c>
      <c r="D68" s="8">
        <v>278978.86224999995</v>
      </c>
      <c r="E68" s="8">
        <v>199990.33747199998</v>
      </c>
      <c r="F68" s="8">
        <v>142137.96708267002</v>
      </c>
      <c r="G68" s="8">
        <v>81818.592598907999</v>
      </c>
    </row>
    <row r="69" spans="1:7" x14ac:dyDescent="0.25">
      <c r="A69" s="12" t="s">
        <v>18</v>
      </c>
      <c r="B69" s="7" t="s">
        <v>66</v>
      </c>
      <c r="C69" s="13">
        <v>44805</v>
      </c>
      <c r="D69" s="8">
        <v>523201.5886800001</v>
      </c>
      <c r="E69" s="8">
        <v>437826.67897430004</v>
      </c>
      <c r="F69" s="8">
        <v>181966.87572336005</v>
      </c>
      <c r="G69" s="8">
        <v>66364.771163922007</v>
      </c>
    </row>
    <row r="70" spans="1:7" x14ac:dyDescent="0.25">
      <c r="A70" s="12" t="s">
        <v>18</v>
      </c>
      <c r="B70" s="7" t="s">
        <v>67</v>
      </c>
      <c r="C70" s="13">
        <v>44805</v>
      </c>
      <c r="D70" s="8">
        <v>536324.74560000002</v>
      </c>
      <c r="E70" s="8">
        <v>440922.43104</v>
      </c>
      <c r="F70" s="8">
        <v>161566.57651680001</v>
      </c>
      <c r="G70" s="8">
        <v>63533.292576422755</v>
      </c>
    </row>
    <row r="71" spans="1:7" x14ac:dyDescent="0.25">
      <c r="A71" s="12" t="s">
        <v>18</v>
      </c>
      <c r="B71" s="7" t="s">
        <v>69</v>
      </c>
      <c r="C71" s="13">
        <v>44805</v>
      </c>
      <c r="D71" s="8">
        <v>523483.85249999992</v>
      </c>
      <c r="E71" s="8">
        <v>522386.06112000003</v>
      </c>
      <c r="F71" s="8">
        <v>188381.00080800004</v>
      </c>
      <c r="G71" s="8">
        <v>68939.552234741757</v>
      </c>
    </row>
    <row r="72" spans="1:7" x14ac:dyDescent="0.25">
      <c r="A72" s="12" t="s">
        <v>18</v>
      </c>
      <c r="B72" s="7" t="s">
        <v>97</v>
      </c>
      <c r="C72" s="13">
        <v>44805</v>
      </c>
      <c r="D72" s="8">
        <v>123294.42674999997</v>
      </c>
      <c r="E72" s="8">
        <v>122026.92751479999</v>
      </c>
      <c r="F72" s="8">
        <v>39657.192590400002</v>
      </c>
      <c r="G72" s="8">
        <v>12151.038634590241</v>
      </c>
    </row>
    <row r="73" spans="1:7" x14ac:dyDescent="0.25">
      <c r="A73" s="12" t="s">
        <v>18</v>
      </c>
      <c r="B73" s="7" t="s">
        <v>65</v>
      </c>
      <c r="C73" s="13">
        <v>44805</v>
      </c>
      <c r="D73" s="8">
        <v>786350.56500000006</v>
      </c>
      <c r="E73" s="8">
        <v>663100.46210200002</v>
      </c>
      <c r="F73" s="8">
        <v>315928.7088048</v>
      </c>
      <c r="G73" s="8">
        <v>167941.05046991998</v>
      </c>
    </row>
    <row r="74" spans="1:7" x14ac:dyDescent="0.25">
      <c r="A74" s="12" t="s">
        <v>18</v>
      </c>
      <c r="B74" s="7" t="s">
        <v>70</v>
      </c>
      <c r="C74" s="13">
        <v>44835</v>
      </c>
      <c r="D74" s="8">
        <v>364146.57043200004</v>
      </c>
      <c r="E74" s="8">
        <v>276004.31264351995</v>
      </c>
      <c r="F74" s="8">
        <v>120023.89375507196</v>
      </c>
      <c r="G74" s="8">
        <v>66958.752347955</v>
      </c>
    </row>
    <row r="75" spans="1:7" x14ac:dyDescent="0.25">
      <c r="A75" s="12" t="s">
        <v>18</v>
      </c>
      <c r="B75" s="7" t="s">
        <v>71</v>
      </c>
      <c r="C75" s="13">
        <v>44835</v>
      </c>
      <c r="D75" s="8">
        <v>285597.31561600004</v>
      </c>
      <c r="E75" s="8">
        <v>232639.26148965003</v>
      </c>
      <c r="F75" s="8">
        <v>111725.31185669699</v>
      </c>
      <c r="G75" s="8">
        <v>53013.738894558934</v>
      </c>
    </row>
    <row r="76" spans="1:7" x14ac:dyDescent="0.25">
      <c r="A76" s="12" t="s">
        <v>18</v>
      </c>
      <c r="B76" s="7" t="s">
        <v>68</v>
      </c>
      <c r="C76" s="13">
        <v>44835</v>
      </c>
      <c r="D76" s="8">
        <v>200788.34825499993</v>
      </c>
      <c r="E76" s="8">
        <v>145937.39348303998</v>
      </c>
      <c r="F76" s="8">
        <v>113710.37366613602</v>
      </c>
      <c r="G76" s="8">
        <v>62085.239936566104</v>
      </c>
    </row>
    <row r="77" spans="1:7" x14ac:dyDescent="0.25">
      <c r="A77" s="12" t="s">
        <v>18</v>
      </c>
      <c r="B77" s="7" t="s">
        <v>66</v>
      </c>
      <c r="C77" s="13">
        <v>44835</v>
      </c>
      <c r="D77" s="8">
        <v>397633.20739680011</v>
      </c>
      <c r="E77" s="8">
        <v>332378.28164387</v>
      </c>
      <c r="F77" s="8">
        <v>138370.64508130503</v>
      </c>
      <c r="G77" s="8">
        <v>50484.629492554952</v>
      </c>
    </row>
    <row r="78" spans="1:7" x14ac:dyDescent="0.25">
      <c r="A78" s="12" t="s">
        <v>18</v>
      </c>
      <c r="B78" s="7" t="s">
        <v>67</v>
      </c>
      <c r="C78" s="13">
        <v>44835</v>
      </c>
      <c r="D78" s="8">
        <v>412523.11682400008</v>
      </c>
      <c r="E78" s="8">
        <v>281749.43343455996</v>
      </c>
      <c r="F78" s="8">
        <v>117808.9620435</v>
      </c>
      <c r="G78" s="8">
        <v>48253.133602346395</v>
      </c>
    </row>
    <row r="79" spans="1:7" x14ac:dyDescent="0.25">
      <c r="A79" s="12" t="s">
        <v>18</v>
      </c>
      <c r="B79" s="7" t="s">
        <v>69</v>
      </c>
      <c r="C79" s="13">
        <v>44835</v>
      </c>
      <c r="D79" s="8">
        <v>403531.26686999999</v>
      </c>
      <c r="E79" s="8">
        <v>361621.75081031997</v>
      </c>
      <c r="F79" s="8">
        <v>144676.60862054402</v>
      </c>
      <c r="G79" s="8">
        <v>43981.689020645368</v>
      </c>
    </row>
    <row r="80" spans="1:7" x14ac:dyDescent="0.25">
      <c r="A80" s="12" t="s">
        <v>18</v>
      </c>
      <c r="B80" s="7" t="s">
        <v>97</v>
      </c>
      <c r="C80" s="13">
        <v>44835</v>
      </c>
      <c r="D80" s="8">
        <v>102597.40231289998</v>
      </c>
      <c r="E80" s="8">
        <v>95132.834937524996</v>
      </c>
      <c r="F80" s="8">
        <v>25331.031767117995</v>
      </c>
      <c r="G80" s="8">
        <v>9852.1934875056013</v>
      </c>
    </row>
    <row r="81" spans="1:7" x14ac:dyDescent="0.25">
      <c r="A81" s="12" t="s">
        <v>18</v>
      </c>
      <c r="B81" s="7" t="s">
        <v>65</v>
      </c>
      <c r="C81" s="13">
        <v>44835</v>
      </c>
      <c r="D81" s="8">
        <v>558308.90115000005</v>
      </c>
      <c r="E81" s="8">
        <v>516673.34636112</v>
      </c>
      <c r="F81" s="8">
        <v>247101.38295804002</v>
      </c>
      <c r="G81" s="8">
        <v>144045.43814591423</v>
      </c>
    </row>
    <row r="82" spans="1:7" x14ac:dyDescent="0.25">
      <c r="A82" s="12" t="s">
        <v>18</v>
      </c>
      <c r="B82" s="7" t="s">
        <v>70</v>
      </c>
      <c r="C82" s="13">
        <v>44866</v>
      </c>
      <c r="D82" s="8">
        <v>488454.79499999998</v>
      </c>
      <c r="E82" s="8">
        <v>444425.06699999998</v>
      </c>
      <c r="F82" s="8">
        <v>202622.74436249997</v>
      </c>
      <c r="G82" s="8">
        <v>87627.758276249981</v>
      </c>
    </row>
    <row r="83" spans="1:7" x14ac:dyDescent="0.25">
      <c r="A83" s="12" t="s">
        <v>18</v>
      </c>
      <c r="B83" s="7" t="s">
        <v>71</v>
      </c>
      <c r="C83" s="13">
        <v>44866</v>
      </c>
      <c r="D83" s="8">
        <v>413835.3775</v>
      </c>
      <c r="E83" s="8">
        <v>321743.90995</v>
      </c>
      <c r="F83" s="8">
        <v>166306.81831875001</v>
      </c>
      <c r="G83" s="8">
        <v>83685.590977995002</v>
      </c>
    </row>
    <row r="84" spans="1:7" x14ac:dyDescent="0.25">
      <c r="A84" s="12" t="s">
        <v>18</v>
      </c>
      <c r="B84" s="7" t="s">
        <v>68</v>
      </c>
      <c r="C84" s="13">
        <v>44866</v>
      </c>
      <c r="D84" s="8">
        <v>311944.6875</v>
      </c>
      <c r="E84" s="8">
        <v>245937.19162500001</v>
      </c>
      <c r="F84" s="8">
        <v>145945.193715</v>
      </c>
      <c r="G84" s="8">
        <v>84283.349370412485</v>
      </c>
    </row>
    <row r="85" spans="1:7" x14ac:dyDescent="0.25">
      <c r="A85" s="12" t="s">
        <v>18</v>
      </c>
      <c r="B85" s="7" t="s">
        <v>66</v>
      </c>
      <c r="C85" s="13">
        <v>44866</v>
      </c>
      <c r="D85" s="8">
        <v>551900.41</v>
      </c>
      <c r="E85" s="8">
        <v>462143.97490000003</v>
      </c>
      <c r="F85" s="8">
        <v>204592.38672600003</v>
      </c>
      <c r="G85" s="8">
        <v>88132.105051200022</v>
      </c>
    </row>
    <row r="86" spans="1:7" x14ac:dyDescent="0.25">
      <c r="A86" s="12" t="s">
        <v>18</v>
      </c>
      <c r="B86" s="7" t="s">
        <v>67</v>
      </c>
      <c r="C86" s="13">
        <v>44866</v>
      </c>
      <c r="D86" s="8">
        <v>569549.17249999999</v>
      </c>
      <c r="E86" s="8">
        <v>463331.9501999999</v>
      </c>
      <c r="F86" s="8">
        <v>183209.17530824998</v>
      </c>
      <c r="G86" s="8">
        <v>77324.310839002501</v>
      </c>
    </row>
    <row r="87" spans="1:7" x14ac:dyDescent="0.25">
      <c r="A87" s="12" t="s">
        <v>18</v>
      </c>
      <c r="B87" s="7" t="s">
        <v>69</v>
      </c>
      <c r="C87" s="13">
        <v>44866</v>
      </c>
      <c r="D87" s="8">
        <v>625373.22</v>
      </c>
      <c r="E87" s="8">
        <v>528604.94279999996</v>
      </c>
      <c r="F87" s="8">
        <v>200725.05499199999</v>
      </c>
      <c r="G87" s="8">
        <v>65691.836179199992</v>
      </c>
    </row>
    <row r="88" spans="1:7" x14ac:dyDescent="0.25">
      <c r="A88" s="12" t="s">
        <v>18</v>
      </c>
      <c r="B88" s="7" t="s">
        <v>97</v>
      </c>
      <c r="C88" s="13">
        <v>44866</v>
      </c>
      <c r="D88" s="8">
        <v>145012.12499999997</v>
      </c>
      <c r="E88" s="8">
        <v>120456.73849999999</v>
      </c>
      <c r="F88" s="8">
        <v>42022.193631000002</v>
      </c>
      <c r="G88" s="8">
        <v>13492.531360440002</v>
      </c>
    </row>
    <row r="89" spans="1:7" x14ac:dyDescent="0.25">
      <c r="A89" s="12" t="s">
        <v>18</v>
      </c>
      <c r="B89" s="7" t="s">
        <v>65</v>
      </c>
      <c r="C89" s="13">
        <v>44866</v>
      </c>
      <c r="D89" s="8">
        <v>935272</v>
      </c>
      <c r="E89" s="8">
        <v>776275.76</v>
      </c>
      <c r="F89" s="8">
        <v>381054.36369000003</v>
      </c>
      <c r="G89" s="8">
        <v>179194.5260937</v>
      </c>
    </row>
    <row r="90" spans="1:7" x14ac:dyDescent="0.25">
      <c r="A90" s="12" t="s">
        <v>18</v>
      </c>
      <c r="B90" s="7" t="s">
        <v>70</v>
      </c>
      <c r="C90" s="13">
        <v>44866</v>
      </c>
      <c r="D90" s="8">
        <v>530007.85080000001</v>
      </c>
      <c r="E90" s="8">
        <v>458927.35865999997</v>
      </c>
      <c r="F90" s="8">
        <v>181886.80636799996</v>
      </c>
      <c r="G90" s="8">
        <v>89996.076067499976</v>
      </c>
    </row>
    <row r="91" spans="1:7" x14ac:dyDescent="0.25">
      <c r="A91" s="12" t="s">
        <v>18</v>
      </c>
      <c r="B91" s="7" t="s">
        <v>71</v>
      </c>
      <c r="C91" s="13">
        <v>44896</v>
      </c>
      <c r="D91" s="8">
        <v>404668.13812500006</v>
      </c>
      <c r="E91" s="8">
        <v>311787.24030425004</v>
      </c>
      <c r="F91" s="8">
        <v>180431.81075462251</v>
      </c>
      <c r="G91" s="8">
        <v>82509.469158844804</v>
      </c>
    </row>
    <row r="92" spans="1:7" x14ac:dyDescent="0.25">
      <c r="A92" s="12" t="s">
        <v>18</v>
      </c>
      <c r="B92" s="7" t="s">
        <v>68</v>
      </c>
      <c r="C92" s="13">
        <v>44896</v>
      </c>
      <c r="D92" s="8">
        <v>361439.91125</v>
      </c>
      <c r="E92" s="8">
        <v>226396.97639999999</v>
      </c>
      <c r="F92" s="8">
        <v>148614.4544947875</v>
      </c>
      <c r="G92" s="8">
        <v>84283.349370412485</v>
      </c>
    </row>
    <row r="93" spans="1:7" x14ac:dyDescent="0.25">
      <c r="A93" s="12" t="s">
        <v>18</v>
      </c>
      <c r="B93" s="7" t="s">
        <v>66</v>
      </c>
      <c r="C93" s="13">
        <v>44896</v>
      </c>
      <c r="D93" s="8">
        <v>548124.24930000002</v>
      </c>
      <c r="E93" s="8">
        <v>537773.21187350014</v>
      </c>
      <c r="F93" s="8">
        <v>209313.74949660004</v>
      </c>
      <c r="G93" s="8">
        <v>73259.812323810009</v>
      </c>
    </row>
    <row r="94" spans="1:7" x14ac:dyDescent="0.25">
      <c r="A94" s="12" t="s">
        <v>18</v>
      </c>
      <c r="B94" s="7" t="s">
        <v>67</v>
      </c>
      <c r="C94" s="13">
        <v>44896</v>
      </c>
      <c r="D94" s="8">
        <v>625246.64352500008</v>
      </c>
      <c r="E94" s="8">
        <v>475172.65559400001</v>
      </c>
      <c r="F94" s="8">
        <v>176432.94553657499</v>
      </c>
      <c r="G94" s="8">
        <v>72156.3062664717</v>
      </c>
    </row>
    <row r="95" spans="1:7" x14ac:dyDescent="0.25">
      <c r="A95" s="12" t="s">
        <v>18</v>
      </c>
      <c r="B95" s="7" t="s">
        <v>69</v>
      </c>
      <c r="C95" s="13">
        <v>44896</v>
      </c>
      <c r="D95" s="8">
        <v>678036.228</v>
      </c>
      <c r="E95" s="8">
        <v>593051.29884000006</v>
      </c>
      <c r="F95" s="8">
        <v>199812.66837840001</v>
      </c>
      <c r="G95" s="8">
        <v>76127.453583667186</v>
      </c>
    </row>
    <row r="96" spans="1:7" x14ac:dyDescent="0.25">
      <c r="A96" s="12" t="s">
        <v>18</v>
      </c>
      <c r="B96" s="7" t="s">
        <v>97</v>
      </c>
      <c r="C96" s="13">
        <v>44896</v>
      </c>
      <c r="D96" s="8">
        <v>137819.52359999996</v>
      </c>
      <c r="E96" s="8">
        <v>140022.35445349998</v>
      </c>
      <c r="F96" s="8">
        <v>44543.525248860002</v>
      </c>
      <c r="G96" s="8">
        <v>14324.5707943338</v>
      </c>
    </row>
    <row r="97" spans="1:7" x14ac:dyDescent="0.25">
      <c r="A97" s="12" t="s">
        <v>18</v>
      </c>
      <c r="B97" s="7" t="s">
        <v>65</v>
      </c>
      <c r="C97" s="13">
        <v>44896</v>
      </c>
      <c r="D97" s="8">
        <v>833327.35199999984</v>
      </c>
      <c r="E97" s="8">
        <v>824987.06394000002</v>
      </c>
      <c r="F97" s="8">
        <v>393723.18409320002</v>
      </c>
      <c r="G97" s="8">
        <v>178437.36612428998</v>
      </c>
    </row>
    <row r="98" spans="1:7" x14ac:dyDescent="0.25">
      <c r="A98" s="12" t="s">
        <v>18</v>
      </c>
      <c r="B98" s="7" t="s">
        <v>70</v>
      </c>
      <c r="C98" s="13">
        <v>44896</v>
      </c>
      <c r="D98" s="8">
        <v>556508.24334000004</v>
      </c>
      <c r="E98" s="8">
        <v>486463.00017959997</v>
      </c>
      <c r="F98" s="8">
        <v>194618.88281375996</v>
      </c>
      <c r="G98" s="8">
        <v>97195.762152899988</v>
      </c>
    </row>
  </sheetData>
  <autoFilter ref="A1:G98" xr:uid="{D0AADBB6-E17D-492D-BA64-A9B1941FD78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K28" sqref="K28"/>
    </sheetView>
  </sheetViews>
  <sheetFormatPr defaultRowHeight="15" x14ac:dyDescent="0.25"/>
  <cols>
    <col min="1" max="1" width="13" style="6" customWidth="1"/>
    <col min="2" max="2" width="10.5703125" style="6" customWidth="1"/>
    <col min="3" max="3" width="11.7109375" style="6" customWidth="1"/>
    <col min="4" max="4" width="11.7109375" style="6" bestFit="1" customWidth="1"/>
    <col min="5" max="5" width="10.7109375" style="6" customWidth="1"/>
    <col min="6" max="8" width="9.140625" style="6"/>
    <col min="9" max="9" width="10.5703125" style="6" bestFit="1" customWidth="1"/>
    <col min="10" max="16384" width="9.140625" style="6"/>
  </cols>
  <sheetData>
    <row r="1" spans="1:14" x14ac:dyDescent="0.25">
      <c r="A1" s="28" t="s">
        <v>20</v>
      </c>
      <c r="B1" s="28" t="s">
        <v>5</v>
      </c>
      <c r="C1" s="32" t="s">
        <v>27</v>
      </c>
      <c r="D1" s="32" t="s">
        <v>28</v>
      </c>
      <c r="E1" s="32" t="s">
        <v>29</v>
      </c>
      <c r="F1" s="32" t="s">
        <v>30</v>
      </c>
      <c r="G1" s="32" t="s">
        <v>31</v>
      </c>
      <c r="H1" s="32" t="s">
        <v>32</v>
      </c>
      <c r="I1" s="32" t="s">
        <v>21</v>
      </c>
      <c r="J1" s="32" t="s">
        <v>22</v>
      </c>
      <c r="K1" s="32" t="s">
        <v>23</v>
      </c>
      <c r="L1" s="32" t="s">
        <v>24</v>
      </c>
      <c r="M1" s="32" t="s">
        <v>25</v>
      </c>
      <c r="N1" s="32" t="s">
        <v>26</v>
      </c>
    </row>
    <row r="2" spans="1:14" x14ac:dyDescent="0.25">
      <c r="A2" s="6" t="s">
        <v>33</v>
      </c>
      <c r="B2" s="7" t="s">
        <v>70</v>
      </c>
      <c r="C2" s="6">
        <v>-6</v>
      </c>
      <c r="D2" s="6">
        <v>-5</v>
      </c>
      <c r="E2" s="6">
        <v>-4</v>
      </c>
      <c r="F2" s="6">
        <v>-3</v>
      </c>
      <c r="G2" s="6">
        <v>-3</v>
      </c>
      <c r="H2" s="6">
        <v>-1</v>
      </c>
      <c r="I2" s="6">
        <v>-4</v>
      </c>
      <c r="J2" s="6">
        <v>-1</v>
      </c>
      <c r="K2" s="6">
        <v>-3</v>
      </c>
      <c r="L2" s="6">
        <v>-2</v>
      </c>
      <c r="M2" s="6">
        <v>-1</v>
      </c>
      <c r="N2" s="6">
        <v>-7</v>
      </c>
    </row>
    <row r="3" spans="1:14" x14ac:dyDescent="0.25">
      <c r="A3" s="6" t="s">
        <v>34</v>
      </c>
      <c r="B3" s="7" t="s">
        <v>70</v>
      </c>
      <c r="C3" s="6">
        <v>4</v>
      </c>
      <c r="D3" s="6">
        <v>5</v>
      </c>
      <c r="E3" s="6">
        <v>6</v>
      </c>
      <c r="F3" s="6">
        <v>2</v>
      </c>
      <c r="G3" s="6">
        <v>3</v>
      </c>
      <c r="H3" s="6">
        <v>4</v>
      </c>
      <c r="I3" s="6">
        <v>7</v>
      </c>
      <c r="J3" s="6">
        <v>5</v>
      </c>
      <c r="K3" s="6">
        <v>4</v>
      </c>
      <c r="L3" s="6">
        <v>6</v>
      </c>
      <c r="M3" s="6">
        <v>6</v>
      </c>
      <c r="N3" s="6">
        <v>4</v>
      </c>
    </row>
    <row r="4" spans="1:14" x14ac:dyDescent="0.25">
      <c r="A4" s="6" t="s">
        <v>33</v>
      </c>
      <c r="B4" s="7" t="s">
        <v>71</v>
      </c>
      <c r="C4" s="6">
        <v>-8</v>
      </c>
      <c r="D4" s="6">
        <v>-3</v>
      </c>
      <c r="E4" s="6">
        <v>-3</v>
      </c>
      <c r="F4" s="6">
        <v>-2</v>
      </c>
      <c r="G4" s="6">
        <v>-3</v>
      </c>
      <c r="H4" s="6">
        <v>-2</v>
      </c>
      <c r="I4" s="6">
        <v>-6</v>
      </c>
      <c r="J4" s="6">
        <v>1</v>
      </c>
      <c r="K4" s="6">
        <v>1</v>
      </c>
      <c r="L4" s="6">
        <v>2</v>
      </c>
      <c r="M4" s="6">
        <v>-1</v>
      </c>
      <c r="N4" s="6">
        <v>-6</v>
      </c>
    </row>
    <row r="5" spans="1:14" x14ac:dyDescent="0.25">
      <c r="A5" s="6" t="s">
        <v>34</v>
      </c>
      <c r="B5" s="7" t="s">
        <v>71</v>
      </c>
      <c r="C5" s="6">
        <v>6</v>
      </c>
      <c r="D5" s="6">
        <v>7</v>
      </c>
      <c r="E5" s="6">
        <v>3</v>
      </c>
      <c r="F5" s="6">
        <v>3</v>
      </c>
      <c r="G5" s="6">
        <v>5</v>
      </c>
      <c r="H5" s="6">
        <v>4</v>
      </c>
      <c r="I5" s="6">
        <v>10</v>
      </c>
      <c r="J5" s="6">
        <v>11</v>
      </c>
      <c r="K5" s="6">
        <v>7</v>
      </c>
      <c r="L5" s="6">
        <v>6</v>
      </c>
      <c r="M5" s="6">
        <v>8</v>
      </c>
      <c r="N5" s="6">
        <v>1</v>
      </c>
    </row>
    <row r="6" spans="1:14" x14ac:dyDescent="0.25">
      <c r="A6" s="6" t="s">
        <v>33</v>
      </c>
      <c r="B6" s="7" t="s">
        <v>68</v>
      </c>
      <c r="C6" s="6">
        <v>-7</v>
      </c>
      <c r="D6" s="6">
        <v>-3</v>
      </c>
      <c r="E6" s="6">
        <v>-3</v>
      </c>
      <c r="F6" s="6">
        <v>-3</v>
      </c>
      <c r="G6" s="6">
        <v>-2</v>
      </c>
      <c r="H6" s="6">
        <v>-3</v>
      </c>
      <c r="I6" s="6">
        <v>-3</v>
      </c>
      <c r="J6" s="6">
        <v>-1</v>
      </c>
      <c r="K6" s="6">
        <v>-1</v>
      </c>
      <c r="L6" s="6">
        <v>0</v>
      </c>
      <c r="M6" s="6">
        <v>0</v>
      </c>
      <c r="N6" s="6">
        <v>-6</v>
      </c>
    </row>
    <row r="7" spans="1:14" x14ac:dyDescent="0.25">
      <c r="A7" s="6" t="s">
        <v>34</v>
      </c>
      <c r="B7" s="7" t="s">
        <v>68</v>
      </c>
      <c r="C7" s="6">
        <v>5</v>
      </c>
      <c r="D7" s="6">
        <v>11</v>
      </c>
      <c r="E7" s="6">
        <v>4</v>
      </c>
      <c r="F7" s="6">
        <v>5</v>
      </c>
      <c r="G7" s="6">
        <v>3</v>
      </c>
      <c r="H7" s="6">
        <v>6</v>
      </c>
      <c r="I7" s="6">
        <v>9</v>
      </c>
      <c r="J7" s="6">
        <v>14</v>
      </c>
      <c r="K7" s="6">
        <v>7</v>
      </c>
      <c r="L7" s="6">
        <v>9</v>
      </c>
      <c r="M7" s="6">
        <v>5</v>
      </c>
      <c r="N7" s="6">
        <v>1</v>
      </c>
    </row>
    <row r="8" spans="1:14" x14ac:dyDescent="0.25">
      <c r="A8" s="6" t="s">
        <v>33</v>
      </c>
      <c r="B8" s="7" t="s">
        <v>66</v>
      </c>
      <c r="C8" s="6">
        <v>-4</v>
      </c>
      <c r="D8" s="6">
        <v>-3</v>
      </c>
      <c r="E8" s="6">
        <v>-4</v>
      </c>
      <c r="F8" s="6">
        <v>-3</v>
      </c>
      <c r="G8" s="6">
        <v>-3</v>
      </c>
      <c r="H8" s="6">
        <v>-3</v>
      </c>
      <c r="I8" s="6">
        <v>-2</v>
      </c>
      <c r="J8" s="6">
        <v>1</v>
      </c>
      <c r="K8" s="6">
        <v>-2</v>
      </c>
      <c r="L8" s="6">
        <v>1</v>
      </c>
      <c r="M8" s="6">
        <v>-1</v>
      </c>
      <c r="N8" s="6">
        <v>-6</v>
      </c>
    </row>
    <row r="9" spans="1:14" x14ac:dyDescent="0.25">
      <c r="A9" s="6" t="s">
        <v>34</v>
      </c>
      <c r="B9" s="7" t="s">
        <v>66</v>
      </c>
      <c r="C9" s="6">
        <v>4</v>
      </c>
      <c r="D9" s="6">
        <v>11</v>
      </c>
      <c r="E9" s="6">
        <v>3</v>
      </c>
      <c r="F9" s="6">
        <v>3</v>
      </c>
      <c r="G9" s="6">
        <v>3</v>
      </c>
      <c r="H9" s="6">
        <v>8</v>
      </c>
      <c r="I9" s="6">
        <v>7</v>
      </c>
      <c r="J9" s="6">
        <v>15</v>
      </c>
      <c r="K9" s="6">
        <v>7</v>
      </c>
      <c r="L9" s="6">
        <v>7</v>
      </c>
      <c r="M9" s="6">
        <v>7</v>
      </c>
      <c r="N9" s="6">
        <v>1</v>
      </c>
    </row>
    <row r="10" spans="1:14" x14ac:dyDescent="0.25">
      <c r="A10" s="6" t="s">
        <v>33</v>
      </c>
      <c r="B10" s="7" t="s">
        <v>67</v>
      </c>
      <c r="C10" s="6">
        <v>-2</v>
      </c>
      <c r="D10" s="6">
        <v>-3</v>
      </c>
      <c r="E10" s="6">
        <v>-4</v>
      </c>
      <c r="F10" s="6">
        <v>-3</v>
      </c>
      <c r="G10" s="6">
        <v>-5</v>
      </c>
      <c r="H10" s="6">
        <v>-3</v>
      </c>
      <c r="I10" s="6">
        <v>0</v>
      </c>
      <c r="J10" s="6">
        <v>1</v>
      </c>
      <c r="K10" s="6">
        <v>0</v>
      </c>
      <c r="L10" s="6">
        <v>-1</v>
      </c>
      <c r="M10" s="6">
        <v>-2</v>
      </c>
      <c r="N10" s="6">
        <v>-7</v>
      </c>
    </row>
    <row r="11" spans="1:14" x14ac:dyDescent="0.25">
      <c r="A11" s="6" t="s">
        <v>34</v>
      </c>
      <c r="B11" s="7" t="s">
        <v>67</v>
      </c>
      <c r="C11" s="6">
        <v>6</v>
      </c>
      <c r="D11" s="6">
        <v>14</v>
      </c>
      <c r="E11" s="6">
        <v>2</v>
      </c>
      <c r="F11" s="6">
        <v>5</v>
      </c>
      <c r="G11" s="6">
        <v>5</v>
      </c>
      <c r="H11" s="6">
        <v>8</v>
      </c>
      <c r="I11" s="6">
        <v>9</v>
      </c>
      <c r="J11" s="6">
        <v>12</v>
      </c>
      <c r="K11" s="6">
        <v>4</v>
      </c>
      <c r="L11" s="6">
        <v>9</v>
      </c>
      <c r="M11" s="6">
        <v>8</v>
      </c>
      <c r="N11" s="6">
        <v>-1</v>
      </c>
    </row>
    <row r="12" spans="1:14" x14ac:dyDescent="0.25">
      <c r="A12" s="6" t="s">
        <v>33</v>
      </c>
      <c r="B12" s="7" t="s">
        <v>69</v>
      </c>
      <c r="C12" s="6">
        <v>-3</v>
      </c>
      <c r="D12" s="6">
        <v>-3</v>
      </c>
      <c r="E12" s="6">
        <v>-3</v>
      </c>
      <c r="F12" s="6">
        <v>-2</v>
      </c>
      <c r="G12" s="6">
        <v>-6</v>
      </c>
      <c r="H12" s="6">
        <v>-3</v>
      </c>
      <c r="I12" s="6">
        <v>0</v>
      </c>
      <c r="J12" s="6">
        <v>1</v>
      </c>
      <c r="K12" s="6">
        <v>-1</v>
      </c>
      <c r="L12" s="6">
        <v>0</v>
      </c>
      <c r="M12" s="6">
        <v>-3</v>
      </c>
      <c r="N12" s="6">
        <v>-7</v>
      </c>
    </row>
    <row r="13" spans="1:14" x14ac:dyDescent="0.25">
      <c r="A13" s="6" t="s">
        <v>34</v>
      </c>
      <c r="B13" s="7" t="s">
        <v>69</v>
      </c>
      <c r="C13" s="6">
        <v>7</v>
      </c>
      <c r="D13" s="6">
        <v>9</v>
      </c>
      <c r="E13" s="6">
        <v>1</v>
      </c>
      <c r="F13" s="6">
        <v>4</v>
      </c>
      <c r="G13" s="6">
        <v>8</v>
      </c>
      <c r="H13" s="6">
        <v>6</v>
      </c>
      <c r="I13" s="6">
        <v>11</v>
      </c>
      <c r="J13" s="6">
        <v>12</v>
      </c>
      <c r="K13" s="6">
        <v>5</v>
      </c>
      <c r="L13" s="6">
        <v>6</v>
      </c>
      <c r="M13" s="6">
        <v>10</v>
      </c>
      <c r="N13" s="6">
        <v>-3</v>
      </c>
    </row>
    <row r="14" spans="1:14" x14ac:dyDescent="0.25">
      <c r="A14" s="6" t="s">
        <v>33</v>
      </c>
      <c r="B14" s="7" t="s">
        <v>97</v>
      </c>
      <c r="C14" s="6">
        <v>-4</v>
      </c>
      <c r="D14" s="6">
        <v>-5</v>
      </c>
      <c r="E14" s="6">
        <v>-5</v>
      </c>
      <c r="F14" s="6">
        <v>-3</v>
      </c>
      <c r="G14" s="6">
        <v>-8</v>
      </c>
      <c r="H14" s="6">
        <v>-3</v>
      </c>
      <c r="I14" s="6">
        <v>0</v>
      </c>
      <c r="J14" s="6">
        <v>-1</v>
      </c>
      <c r="K14" s="6">
        <v>-3</v>
      </c>
      <c r="L14" s="6">
        <v>0</v>
      </c>
      <c r="M14" s="6">
        <v>-4</v>
      </c>
      <c r="N14" s="6">
        <v>-8</v>
      </c>
    </row>
    <row r="15" spans="1:14" x14ac:dyDescent="0.25">
      <c r="A15" s="6" t="s">
        <v>34</v>
      </c>
      <c r="B15" s="7" t="s">
        <v>97</v>
      </c>
      <c r="C15" s="6">
        <v>5</v>
      </c>
      <c r="D15" s="6">
        <v>9</v>
      </c>
      <c r="E15" s="6">
        <v>2</v>
      </c>
      <c r="F15" s="6">
        <v>3</v>
      </c>
      <c r="G15" s="6">
        <v>12</v>
      </c>
      <c r="H15" s="6">
        <v>6</v>
      </c>
      <c r="I15" s="6">
        <v>9</v>
      </c>
      <c r="J15" s="6">
        <v>13</v>
      </c>
      <c r="K15" s="6">
        <v>5</v>
      </c>
      <c r="L15" s="6">
        <v>5</v>
      </c>
      <c r="M15" s="6">
        <v>15</v>
      </c>
      <c r="N15" s="6">
        <v>-2</v>
      </c>
    </row>
    <row r="16" spans="1:14" x14ac:dyDescent="0.25">
      <c r="A16" s="6" t="s">
        <v>33</v>
      </c>
      <c r="B16" s="7" t="s">
        <v>65</v>
      </c>
      <c r="C16" s="6">
        <v>-4</v>
      </c>
      <c r="D16" s="6">
        <v>-8</v>
      </c>
      <c r="E16" s="6">
        <v>-3</v>
      </c>
      <c r="F16" s="6">
        <v>-2</v>
      </c>
      <c r="G16" s="6">
        <v>-6</v>
      </c>
      <c r="H16" s="6">
        <v>-4</v>
      </c>
      <c r="I16" s="6">
        <v>-1</v>
      </c>
      <c r="J16" s="6">
        <v>-6</v>
      </c>
      <c r="K16" s="6">
        <v>-1</v>
      </c>
      <c r="L16" s="6">
        <v>0</v>
      </c>
      <c r="M16" s="6">
        <v>-2</v>
      </c>
      <c r="N16" s="6">
        <v>-7</v>
      </c>
    </row>
    <row r="17" spans="1:14" x14ac:dyDescent="0.25">
      <c r="A17" s="6" t="s">
        <v>34</v>
      </c>
      <c r="B17" s="7" t="s">
        <v>65</v>
      </c>
      <c r="C17" s="6">
        <v>8</v>
      </c>
      <c r="D17" s="6">
        <v>9</v>
      </c>
      <c r="E17" s="6">
        <v>2</v>
      </c>
      <c r="F17" s="6">
        <v>3</v>
      </c>
      <c r="G17" s="6">
        <v>17</v>
      </c>
      <c r="H17" s="6">
        <v>8</v>
      </c>
      <c r="I17" s="6">
        <v>11</v>
      </c>
      <c r="J17" s="6">
        <v>12</v>
      </c>
      <c r="K17" s="6">
        <v>6</v>
      </c>
      <c r="L17" s="6">
        <v>6</v>
      </c>
      <c r="M17" s="6">
        <v>21</v>
      </c>
      <c r="N17" s="6">
        <v>-2</v>
      </c>
    </row>
    <row r="18" spans="1:14" x14ac:dyDescent="0.25">
      <c r="B18" s="7"/>
    </row>
    <row r="21" spans="1:14" x14ac:dyDescent="0.25">
      <c r="A21" s="28" t="s">
        <v>20</v>
      </c>
      <c r="B21" s="28" t="s">
        <v>5</v>
      </c>
      <c r="C21" s="31" t="s">
        <v>75</v>
      </c>
      <c r="D21" s="31" t="s">
        <v>76</v>
      </c>
      <c r="E21" s="31" t="s">
        <v>82</v>
      </c>
    </row>
    <row r="22" spans="1:14" x14ac:dyDescent="0.25">
      <c r="A22" s="6" t="s">
        <v>35</v>
      </c>
      <c r="B22" s="7" t="s">
        <v>70</v>
      </c>
      <c r="C22" s="6">
        <v>41</v>
      </c>
      <c r="D22" s="6">
        <v>29</v>
      </c>
      <c r="E22" s="6">
        <v>40</v>
      </c>
    </row>
    <row r="23" spans="1:14" x14ac:dyDescent="0.25">
      <c r="A23" s="6" t="s">
        <v>35</v>
      </c>
      <c r="B23" s="7" t="s">
        <v>71</v>
      </c>
      <c r="C23" s="6">
        <v>41</v>
      </c>
      <c r="D23" s="6">
        <v>41</v>
      </c>
      <c r="E23" s="6">
        <v>42</v>
      </c>
    </row>
    <row r="24" spans="1:14" x14ac:dyDescent="0.25">
      <c r="A24" s="6" t="s">
        <v>35</v>
      </c>
      <c r="B24" s="7" t="s">
        <v>68</v>
      </c>
      <c r="C24" s="6">
        <v>40</v>
      </c>
      <c r="D24" s="6">
        <v>41</v>
      </c>
      <c r="E24" s="6">
        <v>44</v>
      </c>
    </row>
    <row r="25" spans="1:14" x14ac:dyDescent="0.25">
      <c r="A25" s="6" t="s">
        <v>35</v>
      </c>
      <c r="B25" s="7" t="s">
        <v>66</v>
      </c>
      <c r="C25" s="6">
        <v>52</v>
      </c>
      <c r="D25" s="6">
        <v>40</v>
      </c>
      <c r="E25" s="6">
        <v>49</v>
      </c>
    </row>
    <row r="26" spans="1:14" x14ac:dyDescent="0.25">
      <c r="A26" s="6" t="s">
        <v>35</v>
      </c>
      <c r="B26" s="7" t="s">
        <v>67</v>
      </c>
      <c r="C26" s="6">
        <v>35</v>
      </c>
      <c r="D26" s="6">
        <v>25</v>
      </c>
      <c r="E26" s="6">
        <v>39</v>
      </c>
    </row>
    <row r="27" spans="1:14" x14ac:dyDescent="0.25">
      <c r="A27" s="6" t="s">
        <v>35</v>
      </c>
      <c r="B27" s="7" t="s">
        <v>69</v>
      </c>
      <c r="C27" s="6">
        <v>38</v>
      </c>
      <c r="D27" s="6">
        <v>36</v>
      </c>
      <c r="E27" s="6">
        <v>39</v>
      </c>
    </row>
    <row r="28" spans="1:14" x14ac:dyDescent="0.25">
      <c r="A28" s="6" t="s">
        <v>35</v>
      </c>
      <c r="B28" s="7" t="s">
        <v>97</v>
      </c>
      <c r="C28" s="6">
        <v>41</v>
      </c>
      <c r="D28" s="6">
        <v>32</v>
      </c>
      <c r="E28" s="6">
        <v>36</v>
      </c>
    </row>
    <row r="29" spans="1:14" x14ac:dyDescent="0.25">
      <c r="A29" s="6" t="s">
        <v>35</v>
      </c>
      <c r="B29" s="7" t="s">
        <v>65</v>
      </c>
      <c r="C29" s="6">
        <v>44</v>
      </c>
      <c r="D29" s="6">
        <v>40</v>
      </c>
      <c r="E29" s="6">
        <v>37</v>
      </c>
    </row>
  </sheetData>
  <autoFilter ref="A1:N17" xr:uid="{40CC626E-51C7-4A87-B99C-6CB453346448}"/>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O8" sqref="O8"/>
    </sheetView>
  </sheetViews>
  <sheetFormatPr defaultRowHeight="15" x14ac:dyDescent="0.25"/>
  <cols>
    <col min="1" max="2" width="9.140625" style="2"/>
    <col min="3" max="6" width="12.28515625" style="2" customWidth="1"/>
    <col min="7" max="16384" width="9.140625" style="2"/>
  </cols>
  <sheetData>
    <row r="1" spans="1:6" x14ac:dyDescent="0.25">
      <c r="A1" s="33" t="s">
        <v>91</v>
      </c>
      <c r="B1" s="34" t="s">
        <v>5</v>
      </c>
      <c r="C1" s="35">
        <v>2019</v>
      </c>
      <c r="D1" s="35">
        <v>2020</v>
      </c>
      <c r="E1" s="35">
        <v>2021</v>
      </c>
      <c r="F1" s="35">
        <v>2022</v>
      </c>
    </row>
    <row r="2" spans="1:6" x14ac:dyDescent="0.25">
      <c r="A2" s="2" t="s">
        <v>37</v>
      </c>
      <c r="B2" s="2" t="s">
        <v>65</v>
      </c>
      <c r="C2" s="3">
        <v>0.5</v>
      </c>
      <c r="D2" s="3">
        <v>0.6</v>
      </c>
      <c r="E2" s="3">
        <v>0.6</v>
      </c>
      <c r="F2" s="3">
        <v>0.6</v>
      </c>
    </row>
    <row r="3" spans="1:6" x14ac:dyDescent="0.25">
      <c r="A3" s="2" t="s">
        <v>38</v>
      </c>
      <c r="B3" s="2" t="s">
        <v>65</v>
      </c>
      <c r="C3" s="3">
        <v>0.1</v>
      </c>
      <c r="D3" s="3">
        <v>0.15</v>
      </c>
      <c r="E3" s="3">
        <v>0.15</v>
      </c>
      <c r="F3" s="3">
        <v>0.15</v>
      </c>
    </row>
    <row r="4" spans="1:6" x14ac:dyDescent="0.25">
      <c r="A4" s="2" t="s">
        <v>39</v>
      </c>
      <c r="B4" s="2" t="s">
        <v>65</v>
      </c>
      <c r="C4" s="3">
        <v>0.2</v>
      </c>
      <c r="D4" s="3">
        <v>0.15</v>
      </c>
      <c r="E4" s="3">
        <v>0.15</v>
      </c>
      <c r="F4" s="3">
        <v>0.15</v>
      </c>
    </row>
    <row r="5" spans="1:6" x14ac:dyDescent="0.25">
      <c r="A5" s="2" t="s">
        <v>40</v>
      </c>
      <c r="B5" s="2" t="s">
        <v>65</v>
      </c>
      <c r="C5" s="3">
        <v>0.2</v>
      </c>
      <c r="D5" s="3">
        <v>0.1</v>
      </c>
      <c r="E5" s="3">
        <v>0.1</v>
      </c>
      <c r="F5" s="3">
        <v>0.1</v>
      </c>
    </row>
    <row r="6" spans="1:6" x14ac:dyDescent="0.25">
      <c r="A6" s="2" t="s">
        <v>41</v>
      </c>
      <c r="B6" s="2" t="s">
        <v>65</v>
      </c>
      <c r="C6" s="3">
        <v>0.7</v>
      </c>
      <c r="D6" s="3">
        <v>0.86</v>
      </c>
      <c r="E6" s="3">
        <v>0.95</v>
      </c>
      <c r="F6" s="3">
        <v>0.85</v>
      </c>
    </row>
    <row r="7" spans="1:6" x14ac:dyDescent="0.25">
      <c r="A7" s="2" t="s">
        <v>42</v>
      </c>
      <c r="B7" s="2" t="s">
        <v>65</v>
      </c>
      <c r="C7" s="3">
        <v>0.9</v>
      </c>
      <c r="D7" s="3">
        <v>0.9</v>
      </c>
      <c r="E7" s="3">
        <v>0.9</v>
      </c>
      <c r="F7" s="3">
        <v>0.9</v>
      </c>
    </row>
    <row r="8" spans="1:6" x14ac:dyDescent="0.25">
      <c r="A8" s="2" t="s">
        <v>37</v>
      </c>
      <c r="B8" s="2" t="s">
        <v>71</v>
      </c>
      <c r="C8" s="3">
        <v>0.5</v>
      </c>
      <c r="D8" s="3">
        <v>0.6</v>
      </c>
      <c r="E8" s="3">
        <v>0.6</v>
      </c>
      <c r="F8" s="3">
        <v>0.6</v>
      </c>
    </row>
    <row r="9" spans="1:6" x14ac:dyDescent="0.25">
      <c r="A9" s="2" t="s">
        <v>38</v>
      </c>
      <c r="B9" s="2" t="s">
        <v>71</v>
      </c>
      <c r="C9" s="3">
        <v>0.1</v>
      </c>
      <c r="D9" s="3">
        <v>0.15</v>
      </c>
      <c r="E9" s="3">
        <v>0.15</v>
      </c>
      <c r="F9" s="3">
        <v>0.15</v>
      </c>
    </row>
    <row r="10" spans="1:6" x14ac:dyDescent="0.25">
      <c r="A10" s="2" t="s">
        <v>39</v>
      </c>
      <c r="B10" s="2" t="s">
        <v>71</v>
      </c>
      <c r="C10" s="3">
        <v>0.2</v>
      </c>
      <c r="D10" s="3">
        <v>0.15</v>
      </c>
      <c r="E10" s="3">
        <v>0.15</v>
      </c>
      <c r="F10" s="3">
        <v>0.15</v>
      </c>
    </row>
    <row r="11" spans="1:6" x14ac:dyDescent="0.25">
      <c r="A11" s="2" t="s">
        <v>40</v>
      </c>
      <c r="B11" s="2" t="s">
        <v>71</v>
      </c>
      <c r="C11" s="3">
        <v>0.2</v>
      </c>
      <c r="D11" s="3">
        <v>0.1</v>
      </c>
      <c r="E11" s="3">
        <v>0.1</v>
      </c>
      <c r="F11" s="3">
        <v>0.1</v>
      </c>
    </row>
    <row r="12" spans="1:6" x14ac:dyDescent="0.25">
      <c r="A12" s="2" t="s">
        <v>41</v>
      </c>
      <c r="B12" s="2" t="s">
        <v>71</v>
      </c>
      <c r="C12" s="3">
        <v>0.8</v>
      </c>
      <c r="D12" s="3">
        <v>0.85</v>
      </c>
      <c r="E12" s="3">
        <v>0.87</v>
      </c>
      <c r="F12" s="3">
        <v>0.9</v>
      </c>
    </row>
    <row r="13" spans="1:6" x14ac:dyDescent="0.25">
      <c r="A13" s="2" t="s">
        <v>42</v>
      </c>
      <c r="B13" s="2" t="s">
        <v>71</v>
      </c>
      <c r="C13" s="3">
        <v>0.88</v>
      </c>
      <c r="D13" s="3">
        <v>0.88</v>
      </c>
      <c r="E13" s="3">
        <v>0.88</v>
      </c>
      <c r="F13" s="3">
        <v>0.88</v>
      </c>
    </row>
    <row r="14" spans="1:6" x14ac:dyDescent="0.25">
      <c r="A14" s="2" t="s">
        <v>37</v>
      </c>
      <c r="B14" s="2" t="s">
        <v>70</v>
      </c>
      <c r="C14" s="3">
        <v>0.5</v>
      </c>
      <c r="D14" s="3">
        <v>0.6</v>
      </c>
      <c r="E14" s="3">
        <v>0.6</v>
      </c>
      <c r="F14" s="3">
        <v>0.6</v>
      </c>
    </row>
    <row r="15" spans="1:6" x14ac:dyDescent="0.25">
      <c r="A15" s="2" t="s">
        <v>38</v>
      </c>
      <c r="B15" s="2" t="s">
        <v>70</v>
      </c>
      <c r="C15" s="3">
        <v>0.1</v>
      </c>
      <c r="D15" s="3">
        <v>0.15</v>
      </c>
      <c r="E15" s="3">
        <v>0.15</v>
      </c>
      <c r="F15" s="3">
        <v>0.15</v>
      </c>
    </row>
    <row r="16" spans="1:6" x14ac:dyDescent="0.25">
      <c r="A16" s="2" t="s">
        <v>39</v>
      </c>
      <c r="B16" s="2" t="s">
        <v>70</v>
      </c>
      <c r="C16" s="3">
        <v>0.2</v>
      </c>
      <c r="D16" s="3">
        <v>0.15</v>
      </c>
      <c r="E16" s="3">
        <v>0.15</v>
      </c>
      <c r="F16" s="3">
        <v>0.15</v>
      </c>
    </row>
    <row r="17" spans="1:6" x14ac:dyDescent="0.25">
      <c r="A17" s="2" t="s">
        <v>40</v>
      </c>
      <c r="B17" s="2" t="s">
        <v>70</v>
      </c>
      <c r="C17" s="3">
        <v>0.2</v>
      </c>
      <c r="D17" s="3">
        <v>0.1</v>
      </c>
      <c r="E17" s="3">
        <v>0.1</v>
      </c>
      <c r="F17" s="3">
        <v>0.1</v>
      </c>
    </row>
    <row r="18" spans="1:6" x14ac:dyDescent="0.25">
      <c r="A18" s="2" t="s">
        <v>41</v>
      </c>
      <c r="B18" s="2" t="s">
        <v>70</v>
      </c>
      <c r="C18" s="3">
        <v>0.89</v>
      </c>
      <c r="D18" s="3">
        <v>0.91</v>
      </c>
      <c r="E18" s="3">
        <v>0.9</v>
      </c>
      <c r="F18" s="3">
        <v>0.91</v>
      </c>
    </row>
    <row r="19" spans="1:6" x14ac:dyDescent="0.25">
      <c r="A19" s="2" t="s">
        <v>42</v>
      </c>
      <c r="B19" s="2" t="s">
        <v>70</v>
      </c>
      <c r="C19" s="3">
        <v>0.9</v>
      </c>
      <c r="D19" s="3">
        <v>0.92</v>
      </c>
      <c r="E19" s="3">
        <v>0.93</v>
      </c>
      <c r="F19" s="3">
        <v>0.93</v>
      </c>
    </row>
    <row r="20" spans="1:6" x14ac:dyDescent="0.25">
      <c r="A20" s="2" t="s">
        <v>37</v>
      </c>
      <c r="B20" s="2" t="s">
        <v>69</v>
      </c>
      <c r="C20" s="3">
        <v>0.5</v>
      </c>
      <c r="D20" s="3">
        <v>0.6</v>
      </c>
      <c r="E20" s="3">
        <v>0.6</v>
      </c>
      <c r="F20" s="3">
        <v>0.6</v>
      </c>
    </row>
    <row r="21" spans="1:6" x14ac:dyDescent="0.25">
      <c r="A21" s="2" t="s">
        <v>38</v>
      </c>
      <c r="B21" s="2" t="s">
        <v>69</v>
      </c>
      <c r="C21" s="3">
        <v>0.1</v>
      </c>
      <c r="D21" s="3">
        <v>0.15</v>
      </c>
      <c r="E21" s="3">
        <v>0.15</v>
      </c>
      <c r="F21" s="3">
        <v>0.15</v>
      </c>
    </row>
    <row r="22" spans="1:6" x14ac:dyDescent="0.25">
      <c r="A22" s="2" t="s">
        <v>39</v>
      </c>
      <c r="B22" s="2" t="s">
        <v>69</v>
      </c>
      <c r="C22" s="3">
        <v>0.2</v>
      </c>
      <c r="D22" s="3">
        <v>0.15</v>
      </c>
      <c r="E22" s="3">
        <v>0.15</v>
      </c>
      <c r="F22" s="3">
        <v>0.15</v>
      </c>
    </row>
    <row r="23" spans="1:6" x14ac:dyDescent="0.25">
      <c r="A23" s="2" t="s">
        <v>40</v>
      </c>
      <c r="B23" s="2" t="s">
        <v>69</v>
      </c>
      <c r="C23" s="3">
        <v>0.2</v>
      </c>
      <c r="D23" s="3">
        <v>0.1</v>
      </c>
      <c r="E23" s="3">
        <v>0.1</v>
      </c>
      <c r="F23" s="3">
        <v>0.1</v>
      </c>
    </row>
    <row r="24" spans="1:6" x14ac:dyDescent="0.25">
      <c r="A24" s="2" t="s">
        <v>41</v>
      </c>
      <c r="B24" s="2" t="s">
        <v>69</v>
      </c>
      <c r="C24" s="3">
        <v>0.88</v>
      </c>
      <c r="D24" s="3">
        <v>0.92</v>
      </c>
      <c r="E24" s="3">
        <v>0.95</v>
      </c>
      <c r="F24" s="3">
        <v>0.93</v>
      </c>
    </row>
    <row r="25" spans="1:6" x14ac:dyDescent="0.25">
      <c r="A25" s="2" t="s">
        <v>42</v>
      </c>
      <c r="B25" s="2" t="s">
        <v>69</v>
      </c>
      <c r="C25" s="3">
        <v>0.91</v>
      </c>
      <c r="D25" s="3">
        <v>0.91</v>
      </c>
      <c r="E25" s="3">
        <v>0.91</v>
      </c>
      <c r="F25" s="3">
        <v>0.91</v>
      </c>
    </row>
    <row r="26" spans="1:6" x14ac:dyDescent="0.25">
      <c r="A26" s="2" t="s">
        <v>37</v>
      </c>
      <c r="B26" s="2" t="s">
        <v>68</v>
      </c>
      <c r="C26" s="3">
        <v>0.5</v>
      </c>
      <c r="D26" s="3">
        <v>0.6</v>
      </c>
      <c r="E26" s="3">
        <v>0.6</v>
      </c>
      <c r="F26" s="3">
        <v>0.6</v>
      </c>
    </row>
    <row r="27" spans="1:6" x14ac:dyDescent="0.25">
      <c r="A27" s="2" t="s">
        <v>38</v>
      </c>
      <c r="B27" s="2" t="s">
        <v>68</v>
      </c>
      <c r="C27" s="3">
        <v>0.1</v>
      </c>
      <c r="D27" s="3">
        <v>0.15</v>
      </c>
      <c r="E27" s="3">
        <v>0.15</v>
      </c>
      <c r="F27" s="3">
        <v>0.15</v>
      </c>
    </row>
    <row r="28" spans="1:6" x14ac:dyDescent="0.25">
      <c r="A28" s="2" t="s">
        <v>39</v>
      </c>
      <c r="B28" s="2" t="s">
        <v>68</v>
      </c>
      <c r="C28" s="3">
        <v>0.2</v>
      </c>
      <c r="D28" s="3">
        <v>0.15</v>
      </c>
      <c r="E28" s="3">
        <v>0.15</v>
      </c>
      <c r="F28" s="3">
        <v>0.15</v>
      </c>
    </row>
    <row r="29" spans="1:6" x14ac:dyDescent="0.25">
      <c r="A29" s="2" t="s">
        <v>40</v>
      </c>
      <c r="B29" s="2" t="s">
        <v>68</v>
      </c>
      <c r="C29" s="3">
        <v>0.2</v>
      </c>
      <c r="D29" s="3">
        <v>0.1</v>
      </c>
      <c r="E29" s="3">
        <v>0.1</v>
      </c>
      <c r="F29" s="3">
        <v>0.1</v>
      </c>
    </row>
    <row r="30" spans="1:6" x14ac:dyDescent="0.25">
      <c r="A30" s="2" t="s">
        <v>41</v>
      </c>
      <c r="B30" s="2" t="s">
        <v>68</v>
      </c>
      <c r="C30" s="3">
        <v>0.77</v>
      </c>
      <c r="D30" s="3">
        <v>0.82</v>
      </c>
      <c r="E30" s="3">
        <v>0.8</v>
      </c>
      <c r="F30" s="3">
        <v>0.88</v>
      </c>
    </row>
    <row r="31" spans="1:6" x14ac:dyDescent="0.25">
      <c r="A31" s="2" t="s">
        <v>42</v>
      </c>
      <c r="B31" s="2" t="s">
        <v>68</v>
      </c>
      <c r="C31" s="3">
        <v>0.8</v>
      </c>
      <c r="D31" s="3">
        <v>0.8</v>
      </c>
      <c r="E31" s="3">
        <v>0.84</v>
      </c>
      <c r="F31" s="3">
        <v>0.84</v>
      </c>
    </row>
    <row r="32" spans="1:6" x14ac:dyDescent="0.25">
      <c r="A32" s="2" t="s">
        <v>37</v>
      </c>
      <c r="B32" s="2" t="s">
        <v>97</v>
      </c>
      <c r="C32" s="3">
        <v>0.5</v>
      </c>
      <c r="D32" s="3">
        <v>0.6</v>
      </c>
      <c r="E32" s="3">
        <v>0.6</v>
      </c>
      <c r="F32" s="3">
        <v>0.6</v>
      </c>
    </row>
    <row r="33" spans="1:6" x14ac:dyDescent="0.25">
      <c r="A33" s="2" t="s">
        <v>38</v>
      </c>
      <c r="B33" s="2" t="s">
        <v>97</v>
      </c>
      <c r="C33" s="3">
        <v>0.1</v>
      </c>
      <c r="D33" s="3">
        <v>0.15</v>
      </c>
      <c r="E33" s="3">
        <v>0.15</v>
      </c>
      <c r="F33" s="3">
        <v>0.15</v>
      </c>
    </row>
    <row r="34" spans="1:6" x14ac:dyDescent="0.25">
      <c r="A34" s="2" t="s">
        <v>39</v>
      </c>
      <c r="B34" s="2" t="s">
        <v>97</v>
      </c>
      <c r="C34" s="3">
        <v>0.2</v>
      </c>
      <c r="D34" s="3">
        <v>0.15</v>
      </c>
      <c r="E34" s="3">
        <v>0.15</v>
      </c>
      <c r="F34" s="3">
        <v>0.15</v>
      </c>
    </row>
    <row r="35" spans="1:6" x14ac:dyDescent="0.25">
      <c r="A35" s="2" t="s">
        <v>40</v>
      </c>
      <c r="B35" s="2" t="s">
        <v>97</v>
      </c>
      <c r="C35" s="3">
        <v>0.2</v>
      </c>
      <c r="D35" s="3">
        <v>0.1</v>
      </c>
      <c r="E35" s="3">
        <v>0.1</v>
      </c>
      <c r="F35" s="3">
        <v>0.1</v>
      </c>
    </row>
    <row r="36" spans="1:6" x14ac:dyDescent="0.25">
      <c r="A36" s="2" t="s">
        <v>41</v>
      </c>
      <c r="B36" s="2" t="s">
        <v>97</v>
      </c>
      <c r="C36" s="3">
        <v>0.72</v>
      </c>
      <c r="D36" s="3">
        <v>0.75</v>
      </c>
      <c r="E36" s="3">
        <v>0.77</v>
      </c>
      <c r="F36" s="3">
        <v>0.8</v>
      </c>
    </row>
    <row r="37" spans="1:6" x14ac:dyDescent="0.25">
      <c r="A37" s="2" t="s">
        <v>42</v>
      </c>
      <c r="B37" s="2" t="s">
        <v>97</v>
      </c>
      <c r="C37" s="3">
        <v>0.87</v>
      </c>
      <c r="D37" s="3">
        <v>0.87</v>
      </c>
      <c r="E37" s="3">
        <v>0.9</v>
      </c>
      <c r="F37" s="3">
        <v>0.9</v>
      </c>
    </row>
    <row r="38" spans="1:6" x14ac:dyDescent="0.25">
      <c r="A38" s="2" t="s">
        <v>37</v>
      </c>
      <c r="B38" s="2" t="s">
        <v>66</v>
      </c>
      <c r="C38" s="3">
        <v>0.5</v>
      </c>
      <c r="D38" s="3">
        <v>0.6</v>
      </c>
      <c r="E38" s="3">
        <v>0.6</v>
      </c>
      <c r="F38" s="3">
        <v>0.6</v>
      </c>
    </row>
    <row r="39" spans="1:6" x14ac:dyDescent="0.25">
      <c r="A39" s="2" t="s">
        <v>38</v>
      </c>
      <c r="B39" s="2" t="s">
        <v>66</v>
      </c>
      <c r="C39" s="3">
        <v>0.1</v>
      </c>
      <c r="D39" s="3">
        <v>0.15</v>
      </c>
      <c r="E39" s="3">
        <v>0.15</v>
      </c>
      <c r="F39" s="3">
        <v>0.15</v>
      </c>
    </row>
    <row r="40" spans="1:6" x14ac:dyDescent="0.25">
      <c r="A40" s="2" t="s">
        <v>39</v>
      </c>
      <c r="B40" s="2" t="s">
        <v>66</v>
      </c>
      <c r="C40" s="3">
        <v>0.2</v>
      </c>
      <c r="D40" s="3">
        <v>0.15</v>
      </c>
      <c r="E40" s="3">
        <v>0.15</v>
      </c>
      <c r="F40" s="3">
        <v>0.15</v>
      </c>
    </row>
    <row r="41" spans="1:6" x14ac:dyDescent="0.25">
      <c r="A41" s="2" t="s">
        <v>40</v>
      </c>
      <c r="B41" s="2" t="s">
        <v>66</v>
      </c>
      <c r="C41" s="3">
        <v>0.2</v>
      </c>
      <c r="D41" s="3">
        <v>0.1</v>
      </c>
      <c r="E41" s="3">
        <v>0.1</v>
      </c>
      <c r="F41" s="3">
        <v>0.1</v>
      </c>
    </row>
    <row r="42" spans="1:6" x14ac:dyDescent="0.25">
      <c r="A42" s="2" t="s">
        <v>41</v>
      </c>
      <c r="B42" s="2" t="s">
        <v>66</v>
      </c>
      <c r="C42" s="3">
        <v>0.85</v>
      </c>
      <c r="D42" s="3">
        <v>0.87</v>
      </c>
      <c r="E42" s="3">
        <v>0.9</v>
      </c>
      <c r="F42" s="3">
        <v>0.93</v>
      </c>
    </row>
    <row r="43" spans="1:6" x14ac:dyDescent="0.25">
      <c r="A43" s="2" t="s">
        <v>42</v>
      </c>
      <c r="B43" s="2" t="s">
        <v>66</v>
      </c>
      <c r="C43" s="3">
        <v>0.92</v>
      </c>
      <c r="D43" s="3">
        <v>0.92</v>
      </c>
      <c r="E43" s="3">
        <v>0.92</v>
      </c>
      <c r="F43" s="3">
        <v>0.92</v>
      </c>
    </row>
    <row r="44" spans="1:6" x14ac:dyDescent="0.25">
      <c r="A44" s="2" t="s">
        <v>37</v>
      </c>
      <c r="B44" s="2" t="s">
        <v>67</v>
      </c>
      <c r="C44" s="3">
        <v>0.5</v>
      </c>
      <c r="D44" s="3">
        <v>0.6</v>
      </c>
      <c r="E44" s="3">
        <v>0.6</v>
      </c>
      <c r="F44" s="3">
        <v>0.6</v>
      </c>
    </row>
    <row r="45" spans="1:6" x14ac:dyDescent="0.25">
      <c r="A45" s="2" t="s">
        <v>38</v>
      </c>
      <c r="B45" s="2" t="s">
        <v>67</v>
      </c>
      <c r="C45" s="3">
        <v>0.1</v>
      </c>
      <c r="D45" s="3">
        <v>0.15</v>
      </c>
      <c r="E45" s="3">
        <v>0.15</v>
      </c>
      <c r="F45" s="3">
        <v>0.15</v>
      </c>
    </row>
    <row r="46" spans="1:6" x14ac:dyDescent="0.25">
      <c r="A46" s="2" t="s">
        <v>39</v>
      </c>
      <c r="B46" s="2" t="s">
        <v>67</v>
      </c>
      <c r="C46" s="3">
        <v>0.2</v>
      </c>
      <c r="D46" s="3">
        <v>0.15</v>
      </c>
      <c r="E46" s="3">
        <v>0.15</v>
      </c>
      <c r="F46" s="3">
        <v>0.15</v>
      </c>
    </row>
    <row r="47" spans="1:6" x14ac:dyDescent="0.25">
      <c r="A47" s="2" t="s">
        <v>40</v>
      </c>
      <c r="B47" s="2" t="s">
        <v>67</v>
      </c>
      <c r="C47" s="3">
        <v>0.2</v>
      </c>
      <c r="D47" s="3">
        <v>0.1</v>
      </c>
      <c r="E47" s="3">
        <v>0.1</v>
      </c>
      <c r="F47" s="3">
        <v>0.1</v>
      </c>
    </row>
    <row r="48" spans="1:6" x14ac:dyDescent="0.25">
      <c r="A48" s="2" t="s">
        <v>41</v>
      </c>
      <c r="B48" s="2" t="s">
        <v>67</v>
      </c>
      <c r="C48" s="3">
        <v>0.72</v>
      </c>
      <c r="D48" s="3">
        <v>0.75</v>
      </c>
      <c r="E48" s="3">
        <v>0.77</v>
      </c>
      <c r="F48" s="3">
        <v>0.8</v>
      </c>
    </row>
    <row r="49" spans="1:6" x14ac:dyDescent="0.25">
      <c r="A49" s="2" t="s">
        <v>42</v>
      </c>
      <c r="B49" s="2" t="s">
        <v>67</v>
      </c>
      <c r="C49" s="3">
        <v>0.95</v>
      </c>
      <c r="D49" s="3">
        <v>0.95</v>
      </c>
      <c r="E49" s="3">
        <v>0.95</v>
      </c>
      <c r="F49" s="3">
        <v>0.95</v>
      </c>
    </row>
  </sheetData>
  <autoFilter ref="A1:F49" xr:uid="{ADD32F46-8DCE-4048-AE35-65F99513777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O132"/>
  <sheetViews>
    <sheetView zoomScale="90" zoomScaleNormal="90" workbookViewId="0">
      <selection activeCell="Q71" sqref="Q71"/>
    </sheetView>
  </sheetViews>
  <sheetFormatPr defaultRowHeight="15" x14ac:dyDescent="0.25"/>
  <cols>
    <col min="1" max="1" width="17.42578125" style="6" customWidth="1"/>
    <col min="2" max="2" width="10.85546875" style="6" bestFit="1" customWidth="1"/>
    <col min="3" max="3" width="12.140625" style="6" bestFit="1" customWidth="1"/>
    <col min="4" max="9" width="12.28515625" style="6" customWidth="1"/>
    <col min="10" max="10" width="12.140625" style="6" bestFit="1" customWidth="1"/>
    <col min="11" max="14" width="11.140625" style="6" bestFit="1" customWidth="1"/>
    <col min="15" max="15" width="13.5703125" style="6" customWidth="1"/>
    <col min="16" max="16384" width="9.140625" style="6"/>
  </cols>
  <sheetData>
    <row r="1" spans="1:15" ht="30" customHeight="1" x14ac:dyDescent="0.25">
      <c r="A1" s="47" t="s">
        <v>90</v>
      </c>
      <c r="B1" s="47"/>
      <c r="C1" s="47"/>
      <c r="D1" s="47"/>
      <c r="E1" s="47"/>
      <c r="F1" s="47"/>
      <c r="G1" s="47"/>
      <c r="H1" s="47"/>
      <c r="I1" s="47"/>
      <c r="J1" s="47"/>
      <c r="K1" s="47"/>
      <c r="L1" s="47"/>
      <c r="M1" s="47"/>
      <c r="N1" s="47"/>
      <c r="O1" s="47"/>
    </row>
    <row r="2" spans="1:15" x14ac:dyDescent="0.25">
      <c r="A2" s="38" t="s">
        <v>20</v>
      </c>
      <c r="B2" s="38" t="s">
        <v>5</v>
      </c>
      <c r="C2" s="38" t="s">
        <v>83</v>
      </c>
      <c r="D2" s="4" t="s">
        <v>27</v>
      </c>
      <c r="E2" s="4" t="s">
        <v>28</v>
      </c>
      <c r="F2" s="4" t="s">
        <v>29</v>
      </c>
      <c r="G2" s="4" t="s">
        <v>30</v>
      </c>
      <c r="H2" s="4" t="s">
        <v>31</v>
      </c>
      <c r="I2" s="4" t="s">
        <v>32</v>
      </c>
      <c r="J2" s="4" t="s">
        <v>21</v>
      </c>
      <c r="K2" s="4" t="s">
        <v>22</v>
      </c>
      <c r="L2" s="4" t="s">
        <v>23</v>
      </c>
      <c r="M2" s="4" t="s">
        <v>24</v>
      </c>
      <c r="N2" s="4" t="s">
        <v>25</v>
      </c>
      <c r="O2" s="4" t="s">
        <v>26</v>
      </c>
    </row>
    <row r="3" spans="1:15" x14ac:dyDescent="0.25">
      <c r="A3" s="7" t="s">
        <v>0</v>
      </c>
      <c r="B3" s="48" t="str">
        <f>CurrentYearData!$S$2</f>
        <v>WA</v>
      </c>
      <c r="C3" s="7" t="s">
        <v>13</v>
      </c>
      <c r="D3" s="36">
        <f>SUMIFS(CurrentYearData!D$2:D$54, CurrentYearData!$A$2:$A$54, $A3, CurrentYearData!$B$2:$B$54,$C3, CurrentYearData!$C$2:$C$54, $B3)</f>
        <v>233403.99999999994</v>
      </c>
      <c r="E3" s="36">
        <f>SUMIFS(CurrentYearData!E$2:E$54, CurrentYearData!$A$2:$A$54, $A3, CurrentYearData!$B$2:$B$54,$C3, CurrentYearData!$C$2:$C$54, $B3)</f>
        <v>142968</v>
      </c>
      <c r="F3" s="36">
        <f>SUMIFS(CurrentYearData!F$2:F$54, CurrentYearData!$A$2:$A$54, $A3, CurrentYearData!$B$2:$B$54,$C3, CurrentYearData!$C$2:$C$54, $B3)</f>
        <v>190026</v>
      </c>
      <c r="G3" s="36">
        <f>SUMIFS(CurrentYearData!G$2:G$54, CurrentYearData!$A$2:$A$54, $A3, CurrentYearData!$B$2:$B$54,$C3, CurrentYearData!$C$2:$C$54, $B3)</f>
        <v>169802</v>
      </c>
      <c r="H3" s="36">
        <f>SUMIFS(CurrentYearData!H$2:H$54, CurrentYearData!$A$2:$A$54, $A3, CurrentYearData!$B$2:$B$54,$C3, CurrentYearData!$C$2:$C$54, $B3)</f>
        <v>188350</v>
      </c>
      <c r="I3" s="36">
        <f>SUMIFS(CurrentYearData!I$2:I$54, CurrentYearData!$A$2:$A$54, $A3, CurrentYearData!$B$2:$B$54,$C3, CurrentYearData!$C$2:$C$54, $B3)</f>
        <v>178272</v>
      </c>
      <c r="J3" s="36">
        <f>SUMIFS(CurrentYearData!J$2:J$54, CurrentYearData!$A$2:$A$54, $A3, CurrentYearData!$B$2:$B$54,$C3, CurrentYearData!$C$2:$C$54, $B3)</f>
        <v>197799.99999999997</v>
      </c>
      <c r="K3" s="36">
        <f>SUMIFS(CurrentYearData!K$2:K$54, CurrentYearData!$A$2:$A$54, $A3, CurrentYearData!$B$2:$B$54,$C3, CurrentYearData!$C$2:$C$54, $B3)</f>
        <v>193200</v>
      </c>
      <c r="L3" s="36">
        <f>SUMIFS(CurrentYearData!L$2:L$54, CurrentYearData!$A$2:$A$54, $A3, CurrentYearData!$B$2:$B$54,$C3, CurrentYearData!$C$2:$C$54, $B3)</f>
        <v>186300</v>
      </c>
      <c r="M3" s="36">
        <f>SUMIFS(CurrentYearData!M$2:M$54, CurrentYearData!$A$2:$A$54, $A3, CurrentYearData!$B$2:$B$54,$C3, CurrentYearData!$C$2:$C$54, $B3)</f>
        <v>177100</v>
      </c>
      <c r="N3" s="36">
        <f>SUMIFS(CurrentYearData!N$2:N$54, CurrentYearData!$A$2:$A$54, $A3, CurrentYearData!$B$2:$B$54,$C3, CurrentYearData!$C$2:$C$54, $B3)</f>
        <v>172500</v>
      </c>
      <c r="O3" s="36">
        <f>SUMIFS(CurrentYearData!O$2:O$54, CurrentYearData!$A$2:$A$54, $A3, CurrentYearData!$B$2:$B$54,$C3, CurrentYearData!$C$2:$C$54, $B3)</f>
        <v>156400</v>
      </c>
    </row>
    <row r="4" spans="1:15" x14ac:dyDescent="0.25">
      <c r="A4" s="7" t="s">
        <v>0</v>
      </c>
      <c r="B4" s="48" t="str">
        <f>CurrentYearData!$S$2</f>
        <v>WA</v>
      </c>
      <c r="C4" s="7" t="s">
        <v>19</v>
      </c>
      <c r="D4" s="36">
        <f>SUMIFS(CurrentYearData!D$2:D$54, CurrentYearData!$A$2:$A$54, $A4, CurrentYearData!$B$2:$B$54,$C4, CurrentYearData!$C$2:$C$54, $B4)</f>
        <v>227514.62</v>
      </c>
      <c r="E4" s="36">
        <f>SUMIFS(CurrentYearData!E$2:E$54, CurrentYearData!$A$2:$A$54, $A4, CurrentYearData!$B$2:$B$54,$C4, CurrentYearData!$C$2:$C$54, $B4)</f>
        <v>130203</v>
      </c>
      <c r="F4" s="36">
        <f>SUMIFS(CurrentYearData!F$2:F$54, CurrentYearData!$A$2:$A$54, $A4, CurrentYearData!$B$2:$B$54,$C4, CurrentYearData!$C$2:$C$54, $B4)</f>
        <v>159528</v>
      </c>
      <c r="G4" s="36">
        <f>SUMIFS(CurrentYearData!G$2:G$54, CurrentYearData!$A$2:$A$54, $A4, CurrentYearData!$B$2:$B$54,$C4, CurrentYearData!$C$2:$C$54, $B4)</f>
        <v>188725.72</v>
      </c>
      <c r="H4" s="36">
        <f>SUMIFS(CurrentYearData!H$2:H$54, CurrentYearData!$A$2:$A$54, $A4, CurrentYearData!$B$2:$B$54,$C4, CurrentYearData!$C$2:$C$54, $B4)</f>
        <v>113141.59999999999</v>
      </c>
      <c r="I4" s="36">
        <f>SUMIFS(CurrentYearData!I$2:I$54, CurrentYearData!$A$2:$A$54, $A4, CurrentYearData!$B$2:$B$54,$C4, CurrentYearData!$C$2:$C$54, $B4)</f>
        <v>117072.76</v>
      </c>
      <c r="J4" s="36">
        <f>SUMIFS(CurrentYearData!J$2:J$54, CurrentYearData!$A$2:$A$54, $A4, CurrentYearData!$B$2:$B$54,$C4, CurrentYearData!$C$2:$C$54, $B4)</f>
        <v>192809</v>
      </c>
      <c r="K4" s="36">
        <f>SUMIFS(CurrentYearData!K$2:K$54, CurrentYearData!$A$2:$A$54, $A4, CurrentYearData!$B$2:$B$54,$C4, CurrentYearData!$C$2:$C$54, $B4)</f>
        <v>175950</v>
      </c>
      <c r="L4" s="36">
        <f>SUMIFS(CurrentYearData!L$2:L$54, CurrentYearData!$A$2:$A$54, $A4, CurrentYearData!$B$2:$B$54,$C4, CurrentYearData!$C$2:$C$54, $B4)</f>
        <v>156400</v>
      </c>
      <c r="M4" s="36">
        <f>SUMIFS(CurrentYearData!M$2:M$54, CurrentYearData!$A$2:$A$54, $A4, CurrentYearData!$B$2:$B$54,$C4, CurrentYearData!$C$2:$C$54, $B4)</f>
        <v>143106</v>
      </c>
      <c r="N4" s="36">
        <f>SUMIFS(CurrentYearData!N$2:N$54, CurrentYearData!$A$2:$A$54, $A4, CurrentYearData!$B$2:$B$54,$C4, CurrentYearData!$C$2:$C$54, $B4)</f>
        <v>131560</v>
      </c>
      <c r="O4" s="36">
        <f>SUMIFS(CurrentYearData!O$2:O$54, CurrentYearData!$A$2:$A$54, $A4, CurrentYearData!$B$2:$B$54,$C4, CurrentYearData!$C$2:$C$54, $B4)</f>
        <v>119462</v>
      </c>
    </row>
    <row r="5" spans="1:15" x14ac:dyDescent="0.25">
      <c r="A5" s="6" t="s">
        <v>1</v>
      </c>
      <c r="B5" s="48" t="str">
        <f>CurrentYearData!$S$2</f>
        <v>WA</v>
      </c>
      <c r="C5" s="7" t="s">
        <v>13</v>
      </c>
      <c r="D5" s="36">
        <f>SUMIFS(CurrentYearData!D$2:D$54, CurrentYearData!$A$2:$A$54, $A5, CurrentYearData!$B$2:$B$54,$C5, CurrentYearData!$C$2:$C$54, $B5)</f>
        <v>100687.53240000001</v>
      </c>
      <c r="E5" s="36">
        <f>SUMIFS(CurrentYearData!E$2:E$54, CurrentYearData!$A$2:$A$54, $A5, CurrentYearData!$B$2:$B$54,$C5, CurrentYearData!$C$2:$C$54, $B5)</f>
        <v>95851.349999999991</v>
      </c>
      <c r="F5" s="36">
        <f>SUMIFS(CurrentYearData!F$2:F$54, CurrentYearData!$A$2:$A$54, $A5, CurrentYearData!$B$2:$B$54,$C5, CurrentYearData!$C$2:$C$54, $B5)</f>
        <v>100354.84199999999</v>
      </c>
      <c r="G5" s="36">
        <f>SUMIFS(CurrentYearData!G$2:G$54, CurrentYearData!$A$2:$A$54, $A5, CurrentYearData!$B$2:$B$54,$C5, CurrentYearData!$C$2:$C$54, $B5)</f>
        <v>120197.77039999999</v>
      </c>
      <c r="H5" s="36">
        <f>SUMIFS(CurrentYearData!H$2:H$54, CurrentYearData!$A$2:$A$54, $A5, CurrentYearData!$B$2:$B$54,$C5, CurrentYearData!$C$2:$C$54, $B5)</f>
        <v>182715.4405</v>
      </c>
      <c r="I5" s="36">
        <f>SUMIFS(CurrentYearData!I$2:I$54, CurrentYearData!$A$2:$A$54, $A5, CurrentYearData!$B$2:$B$54,$C5, CurrentYearData!$C$2:$C$54, $B5)</f>
        <v>158149.81899999999</v>
      </c>
      <c r="J5" s="36">
        <f>SUMIFS(CurrentYearData!J$2:J$54, CurrentYearData!$A$2:$A$54, $A5, CurrentYearData!$B$2:$B$54,$C5, CurrentYearData!$C$2:$C$54, $B5)</f>
        <v>153969.49799999999</v>
      </c>
      <c r="K5" s="36">
        <f>SUMIFS(CurrentYearData!K$2:K$54, CurrentYearData!$A$2:$A$54, $A5, CurrentYearData!$B$2:$B$54,$C5, CurrentYearData!$C$2:$C$54, $B5)</f>
        <v>160178.25599999999</v>
      </c>
      <c r="L5" s="36">
        <f>SUMIFS(CurrentYearData!L$2:L$54, CurrentYearData!$A$2:$A$54, $A5, CurrentYearData!$B$2:$B$54,$C5, CurrentYearData!$C$2:$C$54, $B5)</f>
        <v>162338.09399999998</v>
      </c>
      <c r="M5" s="36">
        <f>SUMIFS(CurrentYearData!M$2:M$54, CurrentYearData!$A$2:$A$54, $A5, CurrentYearData!$B$2:$B$54,$C5, CurrentYearData!$C$2:$C$54, $B5)</f>
        <v>143785.71899999998</v>
      </c>
      <c r="N5" s="36">
        <f>SUMIFS(CurrentYearData!N$2:N$54, CurrentYearData!$A$2:$A$54, $A5, CurrentYearData!$B$2:$B$54,$C5, CurrentYearData!$C$2:$C$54, $B5)</f>
        <v>150313.04999999999</v>
      </c>
      <c r="O5" s="36">
        <f>SUMIFS(CurrentYearData!O$2:O$54, CurrentYearData!$A$2:$A$54, $A5, CurrentYearData!$B$2:$B$54,$C5, CurrentYearData!$C$2:$C$54, $B5)</f>
        <v>120349.8</v>
      </c>
    </row>
    <row r="6" spans="1:15" x14ac:dyDescent="0.25">
      <c r="A6" s="6" t="s">
        <v>1</v>
      </c>
      <c r="B6" s="48" t="str">
        <f>CurrentYearData!$S$2</f>
        <v>WA</v>
      </c>
      <c r="C6" s="7" t="s">
        <v>19</v>
      </c>
      <c r="D6" s="36">
        <f>SUMIFS(CurrentYearData!D$2:D$54, CurrentYearData!$A$2:$A$54, $A6, CurrentYearData!$B$2:$B$54,$C6, CurrentYearData!$C$2:$C$54, $B6)</f>
        <v>143839.33200000002</v>
      </c>
      <c r="E6" s="36">
        <f>SUMIFS(CurrentYearData!E$2:E$54, CurrentYearData!$A$2:$A$54, $A6, CurrentYearData!$B$2:$B$54,$C6, CurrentYearData!$C$2:$C$54, $B6)</f>
        <v>116930.5</v>
      </c>
      <c r="F6" s="36">
        <f>SUMIFS(CurrentYearData!F$2:F$54, CurrentYearData!$A$2:$A$54, $A6, CurrentYearData!$B$2:$B$54,$C6, CurrentYearData!$C$2:$C$54, $B6)</f>
        <v>143364.06</v>
      </c>
      <c r="G6" s="36">
        <f>SUMIFS(CurrentYearData!G$2:G$54, CurrentYearData!$A$2:$A$54, $A6, CurrentYearData!$B$2:$B$54,$C6, CurrentYearData!$C$2:$C$54, $B6)</f>
        <v>143139.67200000002</v>
      </c>
      <c r="H6" s="36">
        <f>SUMIFS(CurrentYearData!H$2:H$54, CurrentYearData!$A$2:$A$54, $A6, CurrentYearData!$B$2:$B$54,$C6, CurrentYearData!$C$2:$C$54, $B6)</f>
        <v>108164.91499999999</v>
      </c>
      <c r="I6" s="36">
        <f>SUMIFS(CurrentYearData!I$2:I$54, CurrentYearData!$A$2:$A$54, $A6, CurrentYearData!$B$2:$B$54,$C6, CurrentYearData!$C$2:$C$54, $B6)</f>
        <v>83071.17</v>
      </c>
      <c r="J6" s="36">
        <f>SUMIFS(CurrentYearData!J$2:J$54, CurrentYearData!$A$2:$A$54, $A6, CurrentYearData!$B$2:$B$54,$C6, CurrentYearData!$C$2:$C$54, $B6)</f>
        <v>158065.20000000001</v>
      </c>
      <c r="K6" s="36">
        <f>SUMIFS(CurrentYearData!K$2:K$54, CurrentYearData!$A$2:$A$54, $A6, CurrentYearData!$B$2:$B$54,$C6, CurrentYearData!$C$2:$C$54, $B6)</f>
        <v>163012.5</v>
      </c>
      <c r="L6" s="36">
        <f>SUMIFS(CurrentYearData!L$2:L$54, CurrentYearData!$A$2:$A$54, $A6, CurrentYearData!$B$2:$B$54,$C6, CurrentYearData!$C$2:$C$54, $B6)</f>
        <v>136537.19999999998</v>
      </c>
      <c r="M6" s="36">
        <f>SUMIFS(CurrentYearData!M$2:M$54, CurrentYearData!$A$2:$A$54, $A6, CurrentYearData!$B$2:$B$54,$C6, CurrentYearData!$C$2:$C$54, $B6)</f>
        <v>131320.80000000002</v>
      </c>
      <c r="N6" s="36">
        <f>SUMIFS(CurrentYearData!N$2:N$54, CurrentYearData!$A$2:$A$54, $A6, CurrentYearData!$B$2:$B$54,$C6, CurrentYearData!$C$2:$C$54, $B6)</f>
        <v>110434.5</v>
      </c>
      <c r="O6" s="36">
        <f>SUMIFS(CurrentYearData!O$2:O$54, CurrentYearData!$A$2:$A$54, $A6, CurrentYearData!$B$2:$B$54,$C6, CurrentYearData!$C$2:$C$54, $B6)</f>
        <v>106501.5</v>
      </c>
    </row>
    <row r="7" spans="1:15" x14ac:dyDescent="0.25">
      <c r="A7" s="6" t="s">
        <v>2</v>
      </c>
      <c r="B7" s="48" t="str">
        <f>CurrentYearData!$S$2</f>
        <v>WA</v>
      </c>
      <c r="C7" s="7" t="s">
        <v>13</v>
      </c>
      <c r="D7" s="36">
        <f>SUMIFS(CurrentYearData!D$2:D$54, CurrentYearData!$A$2:$A$54, $A7, CurrentYearData!$B$2:$B$54,$C7, CurrentYearData!$C$2:$C$54, $B7)</f>
        <v>132716.46759999992</v>
      </c>
      <c r="E7" s="36">
        <f>SUMIFS(CurrentYearData!E$2:E$54, CurrentYearData!$A$2:$A$54, $A7, CurrentYearData!$B$2:$B$54,$C7, CurrentYearData!$C$2:$C$54, $B7)</f>
        <v>47116.650000000009</v>
      </c>
      <c r="F7" s="36">
        <f>SUMIFS(CurrentYearData!F$2:F$54, CurrentYearData!$A$2:$A$54, $A7, CurrentYearData!$B$2:$B$54,$C7, CurrentYearData!$C$2:$C$54, $B7)</f>
        <v>89671.15800000001</v>
      </c>
      <c r="G7" s="36">
        <f>SUMIFS(CurrentYearData!G$2:G$54, CurrentYearData!$A$2:$A$54, $A7, CurrentYearData!$B$2:$B$54,$C7, CurrentYearData!$C$2:$C$54, $B7)</f>
        <v>49604.229600000006</v>
      </c>
      <c r="H7" s="36">
        <f>SUMIFS(CurrentYearData!H$2:H$54, CurrentYearData!$A$2:$A$54, $A7, CurrentYearData!$B$2:$B$54,$C7, CurrentYearData!$C$2:$C$54, $B7)</f>
        <v>5634.559500000003</v>
      </c>
      <c r="I7" s="36">
        <f>SUMIFS(CurrentYearData!I$2:I$54, CurrentYearData!$A$2:$A$54, $A7, CurrentYearData!$B$2:$B$54,$C7, CurrentYearData!$C$2:$C$54, $B7)</f>
        <v>20122.181000000011</v>
      </c>
      <c r="J7" s="36">
        <f>SUMIFS(CurrentYearData!J$2:J$54, CurrentYearData!$A$2:$A$54, $A7, CurrentYearData!$B$2:$B$54,$C7, CurrentYearData!$C$2:$C$54, $B7)</f>
        <v>43830.501999999979</v>
      </c>
      <c r="K7" s="36">
        <f>SUMIFS(CurrentYearData!K$2:K$54, CurrentYearData!$A$2:$A$54, $A7, CurrentYearData!$B$2:$B$54,$C7, CurrentYearData!$C$2:$C$54, $B7)</f>
        <v>33021.744000000006</v>
      </c>
      <c r="L7" s="36">
        <f>SUMIFS(CurrentYearData!L$2:L$54, CurrentYearData!$A$2:$A$54, $A7, CurrentYearData!$B$2:$B$54,$C7, CurrentYearData!$C$2:$C$54, $B7)</f>
        <v>23961.906000000017</v>
      </c>
      <c r="M7" s="36">
        <f>SUMIFS(CurrentYearData!M$2:M$54, CurrentYearData!$A$2:$A$54, $A7, CurrentYearData!$B$2:$B$54,$C7, CurrentYearData!$C$2:$C$54, $B7)</f>
        <v>33314.281000000017</v>
      </c>
      <c r="N7" s="36">
        <f>SUMIFS(CurrentYearData!N$2:N$54, CurrentYearData!$A$2:$A$54, $A7, CurrentYearData!$B$2:$B$54,$C7, CurrentYearData!$C$2:$C$54, $B7)</f>
        <v>22186.950000000012</v>
      </c>
      <c r="O7" s="36">
        <f>SUMIFS(CurrentYearData!O$2:O$54, CurrentYearData!$A$2:$A$54, $A7, CurrentYearData!$B$2:$B$54,$C7, CurrentYearData!$C$2:$C$54, $B7)</f>
        <v>36050.199999999997</v>
      </c>
    </row>
    <row r="8" spans="1:15" x14ac:dyDescent="0.25">
      <c r="A8" s="6" t="s">
        <v>2</v>
      </c>
      <c r="B8" s="48" t="str">
        <f>CurrentYearData!$S$2</f>
        <v>WA</v>
      </c>
      <c r="C8" s="7" t="s">
        <v>19</v>
      </c>
      <c r="D8" s="36">
        <f>SUMIFS(CurrentYearData!D$2:D$54, CurrentYearData!$A$2:$A$54, $A8, CurrentYearData!$B$2:$B$54,$C8, CurrentYearData!$C$2:$C$54, $B8)</f>
        <v>83675.287999999971</v>
      </c>
      <c r="E8" s="36">
        <f>SUMIFS(CurrentYearData!E$2:E$54, CurrentYearData!$A$2:$A$54, $A8, CurrentYearData!$B$2:$B$54,$C8, CurrentYearData!$C$2:$C$54, $B8)</f>
        <v>13272.5</v>
      </c>
      <c r="F8" s="36">
        <f>SUMIFS(CurrentYearData!F$2:F$54, CurrentYearData!$A$2:$A$54, $A8, CurrentYearData!$B$2:$B$54,$C8, CurrentYearData!$C$2:$C$54, $B8)</f>
        <v>16163.940000000002</v>
      </c>
      <c r="G8" s="36">
        <f>SUMIFS(CurrentYearData!G$2:G$54, CurrentYearData!$A$2:$A$54, $A8, CurrentYearData!$B$2:$B$54,$C8, CurrentYearData!$C$2:$C$54, $B8)</f>
        <v>45586.047999999981</v>
      </c>
      <c r="H8" s="36">
        <f>SUMIFS(CurrentYearData!H$2:H$54, CurrentYearData!$A$2:$A$54, $A8, CurrentYearData!$B$2:$B$54,$C8, CurrentYearData!$C$2:$C$54, $B8)</f>
        <v>4976.6849999999977</v>
      </c>
      <c r="I8" s="36">
        <f>SUMIFS(CurrentYearData!I$2:I$54, CurrentYearData!$A$2:$A$54, $A8, CurrentYearData!$B$2:$B$54,$C8, CurrentYearData!$C$2:$C$54, $B8)</f>
        <v>34001.589999999997</v>
      </c>
      <c r="J8" s="36">
        <f>SUMIFS(CurrentYearData!J$2:J$54, CurrentYearData!$A$2:$A$54, $A8, CurrentYearData!$B$2:$B$54,$C8, CurrentYearData!$C$2:$C$54, $B8)</f>
        <v>34743.799999999988</v>
      </c>
      <c r="K8" s="36">
        <f>SUMIFS(CurrentYearData!K$2:K$54, CurrentYearData!$A$2:$A$54, $A8, CurrentYearData!$B$2:$B$54,$C8, CurrentYearData!$C$2:$C$54, $B8)</f>
        <v>12937.5</v>
      </c>
      <c r="L8" s="36">
        <f>SUMIFS(CurrentYearData!L$2:L$54, CurrentYearData!$A$2:$A$54, $A8, CurrentYearData!$B$2:$B$54,$C8, CurrentYearData!$C$2:$C$54, $B8)</f>
        <v>19862.800000000017</v>
      </c>
      <c r="M8" s="36">
        <f>SUMIFS(CurrentYearData!M$2:M$54, CurrentYearData!$A$2:$A$54, $A8, CurrentYearData!$B$2:$B$54,$C8, CurrentYearData!$C$2:$C$54, $B8)</f>
        <v>11785.199999999983</v>
      </c>
      <c r="N8" s="36">
        <f>SUMIFS(CurrentYearData!N$2:N$54, CurrentYearData!$A$2:$A$54, $A8, CurrentYearData!$B$2:$B$54,$C8, CurrentYearData!$C$2:$C$54, $B8)</f>
        <v>21125.5</v>
      </c>
      <c r="O8" s="36">
        <f>SUMIFS(CurrentYearData!O$2:O$54, CurrentYearData!$A$2:$A$54, $A8, CurrentYearData!$B$2:$B$54,$C8, CurrentYearData!$C$2:$C$54, $B8)</f>
        <v>12960.5</v>
      </c>
    </row>
    <row r="10" spans="1:15" x14ac:dyDescent="0.25">
      <c r="A10" s="7" t="str">
        <f>CurrentYearData!R13</f>
        <v>Revenue</v>
      </c>
      <c r="B10" s="48" t="str">
        <f>CurrentYearData!$S$2</f>
        <v>WA</v>
      </c>
      <c r="C10" s="7" t="s">
        <v>13</v>
      </c>
      <c r="D10" s="36">
        <f>SUMIFS(CurrentYearData!D$2:D$54, CurrentYearData!$A$2:$A$54, $A10, CurrentYearData!$B$2:$B$54,$C10, CurrentYearData!$C$2:$C$54, $B10)</f>
        <v>233403.99999999994</v>
      </c>
      <c r="E10" s="36">
        <f>SUMIFS(CurrentYearData!E$2:E$54, CurrentYearData!$A$2:$A$54, $A10, CurrentYearData!$B$2:$B$54,$C10, CurrentYearData!$C$2:$C$54, $B10)</f>
        <v>142968</v>
      </c>
      <c r="F10" s="36">
        <f>SUMIFS(CurrentYearData!F$2:F$54, CurrentYearData!$A$2:$A$54, $A10, CurrentYearData!$B$2:$B$54,$C10, CurrentYearData!$C$2:$C$54, $B10)</f>
        <v>190026</v>
      </c>
      <c r="G10" s="36">
        <f>SUMIFS(CurrentYearData!G$2:G$54, CurrentYearData!$A$2:$A$54, $A10, CurrentYearData!$B$2:$B$54,$C10, CurrentYearData!$C$2:$C$54, $B10)</f>
        <v>169802</v>
      </c>
      <c r="H10" s="36">
        <f>SUMIFS(CurrentYearData!H$2:H$54, CurrentYearData!$A$2:$A$54, $A10, CurrentYearData!$B$2:$B$54,$C10, CurrentYearData!$C$2:$C$54, $B10)</f>
        <v>188350</v>
      </c>
      <c r="I10" s="36">
        <f>SUMIFS(CurrentYearData!I$2:I$54, CurrentYearData!$A$2:$A$54, $A10, CurrentYearData!$B$2:$B$54,$C10, CurrentYearData!$C$2:$C$54, $B10)</f>
        <v>178272</v>
      </c>
      <c r="J10" s="36">
        <f>SUMIFS(CurrentYearData!J$2:J$54, CurrentYearData!$A$2:$A$54, $A10, CurrentYearData!$B$2:$B$54,$C10, CurrentYearData!$C$2:$C$54, $B10)</f>
        <v>197799.99999999997</v>
      </c>
      <c r="K10" s="36">
        <f>SUMIFS(CurrentYearData!K$2:K$54, CurrentYearData!$A$2:$A$54, $A10, CurrentYearData!$B$2:$B$54,$C10, CurrentYearData!$C$2:$C$54, $B10)</f>
        <v>193200</v>
      </c>
      <c r="L10" s="36">
        <f>SUMIFS(CurrentYearData!L$2:L$54, CurrentYearData!$A$2:$A$54, $A10, CurrentYearData!$B$2:$B$54,$C10, CurrentYearData!$C$2:$C$54, $B10)</f>
        <v>186300</v>
      </c>
      <c r="M10" s="36">
        <f>SUMIFS(CurrentYearData!M$2:M$54, CurrentYearData!$A$2:$A$54, $A10, CurrentYearData!$B$2:$B$54,$C10, CurrentYearData!$C$2:$C$54, $B10)</f>
        <v>177100</v>
      </c>
      <c r="N10" s="36">
        <f>SUMIFS(CurrentYearData!N$2:N$54, CurrentYearData!$A$2:$A$54, $A10, CurrentYearData!$B$2:$B$54,$C10, CurrentYearData!$C$2:$C$54, $B10)</f>
        <v>172500</v>
      </c>
      <c r="O10" s="36">
        <f>SUMIFS(CurrentYearData!O$2:O$54, CurrentYearData!$A$2:$A$54, $A10, CurrentYearData!$B$2:$B$54,$C10, CurrentYearData!$C$2:$C$54, $B10)</f>
        <v>156400</v>
      </c>
    </row>
    <row r="11" spans="1:15" x14ac:dyDescent="0.25">
      <c r="A11" s="7" t="str">
        <f>CurrentYearData!R13</f>
        <v>Revenue</v>
      </c>
      <c r="B11" s="48" t="str">
        <f>CurrentYearData!$S$2</f>
        <v>WA</v>
      </c>
      <c r="C11" s="7" t="s">
        <v>19</v>
      </c>
      <c r="D11" s="36">
        <f>SUMIFS(CurrentYearData!D$2:D$54, CurrentYearData!$A$2:$A$54, $A11, CurrentYearData!$B$2:$B$54,$C11, CurrentYearData!$C$2:$C$54, $B11)</f>
        <v>227514.62</v>
      </c>
      <c r="E11" s="36">
        <f>SUMIFS(CurrentYearData!E$2:E$54, CurrentYearData!$A$2:$A$54, $A11, CurrentYearData!$B$2:$B$54,$C11, CurrentYearData!$C$2:$C$54, $B11)</f>
        <v>130203</v>
      </c>
      <c r="F11" s="36">
        <f>SUMIFS(CurrentYearData!F$2:F$54, CurrentYearData!$A$2:$A$54, $A11, CurrentYearData!$B$2:$B$54,$C11, CurrentYearData!$C$2:$C$54, $B11)</f>
        <v>159528</v>
      </c>
      <c r="G11" s="36">
        <f>SUMIFS(CurrentYearData!G$2:G$54, CurrentYearData!$A$2:$A$54, $A11, CurrentYearData!$B$2:$B$54,$C11, CurrentYearData!$C$2:$C$54, $B11)</f>
        <v>188725.72</v>
      </c>
      <c r="H11" s="36">
        <f>SUMIFS(CurrentYearData!H$2:H$54, CurrentYearData!$A$2:$A$54, $A11, CurrentYearData!$B$2:$B$54,$C11, CurrentYearData!$C$2:$C$54, $B11)</f>
        <v>113141.59999999999</v>
      </c>
      <c r="I11" s="36">
        <f>SUMIFS(CurrentYearData!I$2:I$54, CurrentYearData!$A$2:$A$54, $A11, CurrentYearData!$B$2:$B$54,$C11, CurrentYearData!$C$2:$C$54, $B11)</f>
        <v>117072.76</v>
      </c>
      <c r="J11" s="36">
        <f>SUMIFS(CurrentYearData!J$2:J$54, CurrentYearData!$A$2:$A$54, $A11, CurrentYearData!$B$2:$B$54,$C11, CurrentYearData!$C$2:$C$54, $B11)</f>
        <v>192809</v>
      </c>
      <c r="K11" s="36">
        <f>SUMIFS(CurrentYearData!K$2:K$54, CurrentYearData!$A$2:$A$54, $A11, CurrentYearData!$B$2:$B$54,$C11, CurrentYearData!$C$2:$C$54, $B11)</f>
        <v>175950</v>
      </c>
      <c r="L11" s="36">
        <f>SUMIFS(CurrentYearData!L$2:L$54, CurrentYearData!$A$2:$A$54, $A11, CurrentYearData!$B$2:$B$54,$C11, CurrentYearData!$C$2:$C$54, $B11)</f>
        <v>156400</v>
      </c>
      <c r="M11" s="36">
        <f>SUMIFS(CurrentYearData!M$2:M$54, CurrentYearData!$A$2:$A$54, $A11, CurrentYearData!$B$2:$B$54,$C11, CurrentYearData!$C$2:$C$54, $B11)</f>
        <v>143106</v>
      </c>
      <c r="N11" s="36">
        <f>SUMIFS(CurrentYearData!N$2:N$54, CurrentYearData!$A$2:$A$54, $A11, CurrentYearData!$B$2:$B$54,$C11, CurrentYearData!$C$2:$C$54, $B11)</f>
        <v>131560</v>
      </c>
      <c r="O11" s="36">
        <f>SUMIFS(CurrentYearData!O$2:O$54, CurrentYearData!$A$2:$A$54, $A11, CurrentYearData!$B$2:$B$54,$C11, CurrentYearData!$C$2:$C$54, $B11)</f>
        <v>119462</v>
      </c>
    </row>
    <row r="14" spans="1:15" ht="26.25" x14ac:dyDescent="0.25">
      <c r="A14" s="47" t="s">
        <v>84</v>
      </c>
      <c r="B14" s="47"/>
      <c r="C14" s="47"/>
      <c r="D14" s="47"/>
      <c r="E14" s="47"/>
      <c r="F14" s="47"/>
      <c r="G14" s="47"/>
      <c r="H14" s="47"/>
      <c r="I14" s="47"/>
      <c r="J14" s="47"/>
      <c r="K14" s="47"/>
      <c r="L14" s="47"/>
      <c r="M14" s="47"/>
      <c r="N14" s="47"/>
      <c r="O14" s="47"/>
    </row>
    <row r="15" spans="1:15" x14ac:dyDescent="0.25">
      <c r="A15" s="38" t="s">
        <v>20</v>
      </c>
      <c r="B15" s="38" t="s">
        <v>5</v>
      </c>
      <c r="C15" s="38"/>
      <c r="D15" s="4" t="s">
        <v>27</v>
      </c>
      <c r="E15" s="4" t="s">
        <v>28</v>
      </c>
      <c r="F15" s="4" t="s">
        <v>29</v>
      </c>
      <c r="G15" s="4" t="s">
        <v>30</v>
      </c>
      <c r="H15" s="4" t="s">
        <v>31</v>
      </c>
      <c r="I15" s="4" t="s">
        <v>32</v>
      </c>
      <c r="J15" s="4" t="s">
        <v>21</v>
      </c>
      <c r="K15" s="4" t="s">
        <v>22</v>
      </c>
      <c r="L15" s="4" t="s">
        <v>23</v>
      </c>
      <c r="M15" s="4" t="s">
        <v>24</v>
      </c>
      <c r="N15" s="4" t="s">
        <v>25</v>
      </c>
      <c r="O15" s="4" t="s">
        <v>26</v>
      </c>
    </row>
    <row r="16" spans="1:15" x14ac:dyDescent="0.25">
      <c r="A16" s="6" t="s">
        <v>33</v>
      </c>
      <c r="B16" s="48" t="str">
        <f>CurrentYearData!$S$2</f>
        <v>WA</v>
      </c>
      <c r="D16" s="37">
        <f>SUMIFS('HR &amp; Campaign'!C$2:C$17, 'HR &amp; Campaign'!$A$2:$A$17,Calculations!$A16,'HR &amp; Campaign'!$B$2:$B$17,Calculations!$B16)</f>
        <v>-4</v>
      </c>
      <c r="E16" s="37">
        <f>SUMIFS('HR &amp; Campaign'!D$2:D$17, 'HR &amp; Campaign'!$A$2:$A$17,Calculations!$A16,'HR &amp; Campaign'!$B$2:$B$17,Calculations!$B16)</f>
        <v>-5</v>
      </c>
      <c r="F16" s="37">
        <f>SUMIFS('HR &amp; Campaign'!E$2:E$17, 'HR &amp; Campaign'!$A$2:$A$17,Calculations!$A16,'HR &amp; Campaign'!$B$2:$B$17,Calculations!$B16)</f>
        <v>-5</v>
      </c>
      <c r="G16" s="37">
        <f>SUMIFS('HR &amp; Campaign'!F$2:F$17, 'HR &amp; Campaign'!$A$2:$A$17,Calculations!$A16,'HR &amp; Campaign'!$B$2:$B$17,Calculations!$B16)</f>
        <v>-3</v>
      </c>
      <c r="H16" s="37">
        <f>SUMIFS('HR &amp; Campaign'!G$2:G$17, 'HR &amp; Campaign'!$A$2:$A$17,Calculations!$A16,'HR &amp; Campaign'!$B$2:$B$17,Calculations!$B16)</f>
        <v>-8</v>
      </c>
      <c r="I16" s="37">
        <f>SUMIFS('HR &amp; Campaign'!H$2:H$17, 'HR &amp; Campaign'!$A$2:$A$17,Calculations!$A16,'HR &amp; Campaign'!$B$2:$B$17,Calculations!$B16)</f>
        <v>-3</v>
      </c>
      <c r="J16" s="37">
        <f>SUMIFS('HR &amp; Campaign'!I$2:I$17, 'HR &amp; Campaign'!$A$2:$A$17,Calculations!$A16,'HR &amp; Campaign'!$B$2:$B$17,Calculations!$B16)</f>
        <v>0</v>
      </c>
      <c r="K16" s="37">
        <f>SUMIFS('HR &amp; Campaign'!J$2:J$17, 'HR &amp; Campaign'!$A$2:$A$17,Calculations!$A16,'HR &amp; Campaign'!$B$2:$B$17,Calculations!$B16)</f>
        <v>-1</v>
      </c>
      <c r="L16" s="37">
        <f>SUMIFS('HR &amp; Campaign'!K$2:K$17, 'HR &amp; Campaign'!$A$2:$A$17,Calculations!$A16,'HR &amp; Campaign'!$B$2:$B$17,Calculations!$B16)</f>
        <v>-3</v>
      </c>
      <c r="M16" s="37">
        <f>SUMIFS('HR &amp; Campaign'!L$2:L$17, 'HR &amp; Campaign'!$A$2:$A$17,Calculations!$A16,'HR &amp; Campaign'!$B$2:$B$17,Calculations!$B16)</f>
        <v>0</v>
      </c>
      <c r="N16" s="37">
        <f>SUMIFS('HR &amp; Campaign'!M$2:M$17, 'HR &amp; Campaign'!$A$2:$A$17,Calculations!$A16,'HR &amp; Campaign'!$B$2:$B$17,Calculations!$B16)</f>
        <v>-4</v>
      </c>
      <c r="O16" s="37">
        <f>SUMIFS('HR &amp; Campaign'!N$2:N$17, 'HR &amp; Campaign'!$A$2:$A$17,Calculations!$A16,'HR &amp; Campaign'!$B$2:$B$17,Calculations!$B16)</f>
        <v>-8</v>
      </c>
    </row>
    <row r="17" spans="1:15" x14ac:dyDescent="0.25">
      <c r="A17" s="6" t="s">
        <v>34</v>
      </c>
      <c r="B17" s="48" t="str">
        <f>CurrentYearData!$S$2</f>
        <v>WA</v>
      </c>
      <c r="D17" s="37">
        <f>SUMIFS('HR &amp; Campaign'!C$2:C$17, 'HR &amp; Campaign'!$A$2:$A$17,Calculations!$A17,'HR &amp; Campaign'!$B$2:$B$17,Calculations!$B17)</f>
        <v>5</v>
      </c>
      <c r="E17" s="37">
        <f>SUMIFS('HR &amp; Campaign'!D$2:D$17, 'HR &amp; Campaign'!$A$2:$A$17,Calculations!$A17,'HR &amp; Campaign'!$B$2:$B$17,Calculations!$B17)</f>
        <v>9</v>
      </c>
      <c r="F17" s="37">
        <f>SUMIFS('HR &amp; Campaign'!E$2:E$17, 'HR &amp; Campaign'!$A$2:$A$17,Calculations!$A17,'HR &amp; Campaign'!$B$2:$B$17,Calculations!$B17)</f>
        <v>2</v>
      </c>
      <c r="G17" s="37">
        <f>SUMIFS('HR &amp; Campaign'!F$2:F$17, 'HR &amp; Campaign'!$A$2:$A$17,Calculations!$A17,'HR &amp; Campaign'!$B$2:$B$17,Calculations!$B17)</f>
        <v>3</v>
      </c>
      <c r="H17" s="37">
        <f>SUMIFS('HR &amp; Campaign'!G$2:G$17, 'HR &amp; Campaign'!$A$2:$A$17,Calculations!$A17,'HR &amp; Campaign'!$B$2:$B$17,Calculations!$B17)</f>
        <v>12</v>
      </c>
      <c r="I17" s="37">
        <f>SUMIFS('HR &amp; Campaign'!H$2:H$17, 'HR &amp; Campaign'!$A$2:$A$17,Calculations!$A17,'HR &amp; Campaign'!$B$2:$B$17,Calculations!$B17)</f>
        <v>6</v>
      </c>
      <c r="J17" s="37">
        <f>SUMIFS('HR &amp; Campaign'!I$2:I$17, 'HR &amp; Campaign'!$A$2:$A$17,Calculations!$A17,'HR &amp; Campaign'!$B$2:$B$17,Calculations!$B17)</f>
        <v>9</v>
      </c>
      <c r="K17" s="37">
        <f>SUMIFS('HR &amp; Campaign'!J$2:J$17, 'HR &amp; Campaign'!$A$2:$A$17,Calculations!$A17,'HR &amp; Campaign'!$B$2:$B$17,Calculations!$B17)</f>
        <v>13</v>
      </c>
      <c r="L17" s="37">
        <f>SUMIFS('HR &amp; Campaign'!K$2:K$17, 'HR &amp; Campaign'!$A$2:$A$17,Calculations!$A17,'HR &amp; Campaign'!$B$2:$B$17,Calculations!$B17)</f>
        <v>5</v>
      </c>
      <c r="M17" s="37">
        <f>SUMIFS('HR &amp; Campaign'!L$2:L$17, 'HR &amp; Campaign'!$A$2:$A$17,Calculations!$A17,'HR &amp; Campaign'!$B$2:$B$17,Calculations!$B17)</f>
        <v>5</v>
      </c>
      <c r="N17" s="37">
        <f>SUMIFS('HR &amp; Campaign'!M$2:M$17, 'HR &amp; Campaign'!$A$2:$A$17,Calculations!$A17,'HR &amp; Campaign'!$B$2:$B$17,Calculations!$B17)</f>
        <v>15</v>
      </c>
      <c r="O17" s="37">
        <f>SUMIFS('HR &amp; Campaign'!N$2:N$17, 'HR &amp; Campaign'!$A$2:$A$17,Calculations!$A17,'HR &amp; Campaign'!$B$2:$B$17,Calculations!$B17)</f>
        <v>-2</v>
      </c>
    </row>
    <row r="20" spans="1:15" ht="26.25" x14ac:dyDescent="0.25">
      <c r="A20" s="47" t="s">
        <v>89</v>
      </c>
      <c r="B20" s="47"/>
      <c r="C20" s="47"/>
      <c r="D20" s="47"/>
      <c r="E20" s="47"/>
      <c r="F20" s="47"/>
      <c r="G20" s="47"/>
      <c r="H20" s="47"/>
      <c r="I20" s="47"/>
      <c r="J20" s="47"/>
    </row>
    <row r="21" spans="1:15" x14ac:dyDescent="0.25">
      <c r="A21" s="38" t="s">
        <v>77</v>
      </c>
      <c r="B21" s="38" t="s">
        <v>5</v>
      </c>
      <c r="C21" s="38">
        <f>PreviousYearData!D1</f>
        <v>2014</v>
      </c>
      <c r="D21" s="38">
        <f>PreviousYearData!E1</f>
        <v>2015</v>
      </c>
      <c r="E21" s="38">
        <f>PreviousYearData!F1</f>
        <v>2016</v>
      </c>
      <c r="F21" s="38">
        <f>PreviousYearData!G1</f>
        <v>2017</v>
      </c>
      <c r="G21" s="38">
        <f>PreviousYearData!H1</f>
        <v>2018</v>
      </c>
      <c r="H21" s="38">
        <f>PreviousYearData!I1</f>
        <v>2019</v>
      </c>
      <c r="I21" s="38">
        <f>PreviousYearData!J1</f>
        <v>2020</v>
      </c>
      <c r="J21" s="38">
        <f>PreviousYearData!K1</f>
        <v>2021</v>
      </c>
    </row>
    <row r="22" spans="1:15" x14ac:dyDescent="0.25">
      <c r="A22" s="7" t="s">
        <v>6</v>
      </c>
      <c r="B22" s="48" t="str">
        <f>CurrentYearData!$S$2</f>
        <v>WA</v>
      </c>
      <c r="C22" s="36">
        <f>SUMIFS(PreviousYearData!D$2:D$49, PreviousYearData!$A$2:$A$49, Calculations!$A22, PreviousYearData!$C$2:$C$49, Calculations!$B22)</f>
        <v>241272.576</v>
      </c>
      <c r="D22" s="36">
        <f>SUMIFS(PreviousYearData!E$2:E$49, PreviousYearData!$A$2:$A$49, Calculations!$A22, PreviousYearData!$C$2:$C$49, Calculations!$B22)</f>
        <v>215468.37000000002</v>
      </c>
      <c r="E22" s="36">
        <f>SUMIFS(PreviousYearData!F$2:F$49, PreviousYearData!$A$2:$A$49, Calculations!$A22, PreviousYearData!$C$2:$C$49, Calculations!$B22)</f>
        <v>158100.76799999998</v>
      </c>
      <c r="F22" s="36">
        <f>SUMIFS(PreviousYearData!G$2:G$49, PreviousYearData!$A$2:$A$49, Calculations!$A22, PreviousYearData!$C$2:$C$49, Calculations!$B22)</f>
        <v>301590.71999999997</v>
      </c>
      <c r="G22" s="36">
        <f>SUMIFS(PreviousYearData!H$2:H$49, PreviousYearData!$A$2:$A$49, Calculations!$A22, PreviousYearData!$C$2:$C$49, Calculations!$B22)</f>
        <v>239409.30000000002</v>
      </c>
      <c r="H22" s="36">
        <f>SUMIFS(PreviousYearData!I$2:I$49, PreviousYearData!$A$2:$A$49, Calculations!$A22, PreviousYearData!$C$2:$C$49, Calculations!$B22)</f>
        <v>225858.24</v>
      </c>
      <c r="I22" s="36">
        <f>SUMIFS(PreviousYearData!J$2:J$49, PreviousYearData!$A$2:$A$49, Calculations!$A22, PreviousYearData!$C$2:$C$49, Calculations!$B22)</f>
        <v>320440.14</v>
      </c>
      <c r="J22" s="36">
        <f>SUMIFS(PreviousYearData!K$2:K$49, PreviousYearData!$A$2:$A$49, Calculations!$A22, PreviousYearData!$C$2:$C$49, Calculations!$B22)</f>
        <v>428986.8</v>
      </c>
    </row>
    <row r="23" spans="1:15" x14ac:dyDescent="0.25">
      <c r="A23" s="7" t="s">
        <v>7</v>
      </c>
      <c r="B23" s="48" t="str">
        <f>CurrentYearData!$S$2</f>
        <v>WA</v>
      </c>
      <c r="C23" s="36">
        <f>SUMIFS(PreviousYearData!D$2:D$49, PreviousYearData!$A$2:$A$49, Calculations!$A23, PreviousYearData!$C$2:$C$49, Calculations!$B23)</f>
        <v>211113.50400000002</v>
      </c>
      <c r="D23" s="36">
        <f>SUMIFS(PreviousYearData!E$2:E$49, PreviousYearData!$A$2:$A$49, Calculations!$A23, PreviousYearData!$C$2:$C$49, Calculations!$B23)</f>
        <v>291516.03000000003</v>
      </c>
      <c r="E23" s="36">
        <f>SUMIFS(PreviousYearData!F$2:F$49, PreviousYearData!$A$2:$A$49, Calculations!$A23, PreviousYearData!$C$2:$C$49, Calculations!$B23)</f>
        <v>217388.55600000001</v>
      </c>
      <c r="F23" s="36">
        <f>SUMIFS(PreviousYearData!G$2:G$49, PreviousYearData!$A$2:$A$49, Calculations!$A23, PreviousYearData!$C$2:$C$49, Calculations!$B23)</f>
        <v>263891.88</v>
      </c>
      <c r="G23" s="36">
        <f>SUMIFS(PreviousYearData!H$2:H$49, PreviousYearData!$A$2:$A$49, Calculations!$A23, PreviousYearData!$C$2:$C$49, Calculations!$B23)</f>
        <v>323906.7</v>
      </c>
      <c r="H23" s="36">
        <f>SUMIFS(PreviousYearData!I$2:I$49, PreviousYearData!$A$2:$A$49, Calculations!$A23, PreviousYearData!$C$2:$C$49, Calculations!$B23)</f>
        <v>310555.08</v>
      </c>
      <c r="I23" s="36">
        <f>SUMIFS(PreviousYearData!J$2:J$49, PreviousYearData!$A$2:$A$49, Calculations!$A23, PreviousYearData!$C$2:$C$49, Calculations!$B23)</f>
        <v>414687.24</v>
      </c>
      <c r="J23" s="36">
        <f>SUMIFS(PreviousYearData!K$2:K$49, PreviousYearData!$A$2:$A$49, Calculations!$A23, PreviousYearData!$C$2:$C$49, Calculations!$B23)</f>
        <v>350989.2</v>
      </c>
    </row>
    <row r="24" spans="1:15" x14ac:dyDescent="0.25">
      <c r="A24" s="7" t="s">
        <v>8</v>
      </c>
      <c r="B24" s="48" t="str">
        <f>CurrentYearData!$S$2</f>
        <v>WA</v>
      </c>
      <c r="C24" s="36">
        <f>SUMIFS(PreviousYearData!D$2:D$49, PreviousYearData!$A$2:$A$49, Calculations!$A24, PreviousYearData!$C$2:$C$49, Calculations!$B24)</f>
        <v>170901.40800000002</v>
      </c>
      <c r="D24" s="36">
        <f>SUMIFS(PreviousYearData!E$2:E$49, PreviousYearData!$A$2:$A$49, Calculations!$A24, PreviousYearData!$C$2:$C$49, Calculations!$B24)</f>
        <v>240817.59</v>
      </c>
      <c r="E24" s="36">
        <f>SUMIFS(PreviousYearData!F$2:F$49, PreviousYearData!$A$2:$A$49, Calculations!$A24, PreviousYearData!$C$2:$C$49, Calculations!$B24)</f>
        <v>227269.85400000002</v>
      </c>
      <c r="F24" s="36">
        <f>SUMIFS(PreviousYearData!G$2:G$49, PreviousYearData!$A$2:$A$49, Calculations!$A24, PreviousYearData!$C$2:$C$49, Calculations!$B24)</f>
        <v>213626.76</v>
      </c>
      <c r="G24" s="36">
        <f>SUMIFS(PreviousYearData!H$2:H$49, PreviousYearData!$A$2:$A$49, Calculations!$A24, PreviousYearData!$C$2:$C$49, Calculations!$B24)</f>
        <v>267575.09999999998</v>
      </c>
      <c r="H24" s="36">
        <f>SUMIFS(PreviousYearData!I$2:I$49, PreviousYearData!$A$2:$A$49, Calculations!$A24, PreviousYearData!$C$2:$C$49, Calculations!$B24)</f>
        <v>324671.22000000003</v>
      </c>
      <c r="I24" s="36">
        <f>SUMIFS(PreviousYearData!J$2:J$49, PreviousYearData!$A$2:$A$49, Calculations!$A24, PreviousYearData!$C$2:$C$49, Calculations!$B24)</f>
        <v>376988.4</v>
      </c>
      <c r="J24" s="36">
        <f>SUMIFS(PreviousYearData!K$2:K$49, PreviousYearData!$A$2:$A$49, Calculations!$A24, PreviousYearData!$C$2:$C$49, Calculations!$B24)</f>
        <v>311990.40000000002</v>
      </c>
    </row>
    <row r="25" spans="1:15" x14ac:dyDescent="0.25">
      <c r="A25" s="7" t="s">
        <v>9</v>
      </c>
      <c r="B25" s="48" t="str">
        <f>CurrentYearData!$S$2</f>
        <v>WA</v>
      </c>
      <c r="C25" s="36">
        <f>SUMIFS(PreviousYearData!D$2:D$49, PreviousYearData!$A$2:$A$49, Calculations!$A25, PreviousYearData!$C$2:$C$49, Calculations!$B25)</f>
        <v>231219.55200000003</v>
      </c>
      <c r="D25" s="36">
        <f>SUMIFS(PreviousYearData!E$2:E$49, PreviousYearData!$A$2:$A$49, Calculations!$A25, PreviousYearData!$C$2:$C$49, Calculations!$B25)</f>
        <v>253492.2</v>
      </c>
      <c r="E25" s="36">
        <f>SUMIFS(PreviousYearData!F$2:F$49, PreviousYearData!$A$2:$A$49, Calculations!$A25, PreviousYearData!$C$2:$C$49, Calculations!$B25)</f>
        <v>167982.06599999999</v>
      </c>
      <c r="F25" s="36">
        <f>SUMIFS(PreviousYearData!G$2:G$49, PreviousYearData!$A$2:$A$49, Calculations!$A25, PreviousYearData!$C$2:$C$49, Calculations!$B25)</f>
        <v>289024.44</v>
      </c>
      <c r="G25" s="36">
        <f>SUMIFS(PreviousYearData!H$2:H$49, PreviousYearData!$A$2:$A$49, Calculations!$A25, PreviousYearData!$C$2:$C$49, Calculations!$B25)</f>
        <v>281658</v>
      </c>
      <c r="H25" s="36">
        <f>SUMIFS(PreviousYearData!I$2:I$49, PreviousYearData!$A$2:$A$49, Calculations!$A25, PreviousYearData!$C$2:$C$49, Calculations!$B25)</f>
        <v>239974.38</v>
      </c>
      <c r="I25" s="36">
        <f>SUMIFS(PreviousYearData!J$2:J$49, PreviousYearData!$A$2:$A$49, Calculations!$A25, PreviousYearData!$C$2:$C$49, Calculations!$B25)</f>
        <v>320440.14</v>
      </c>
      <c r="J25" s="36">
        <f>SUMIFS(PreviousYearData!K$2:K$49, PreviousYearData!$A$2:$A$49, Calculations!$A25, PreviousYearData!$C$2:$C$49, Calculations!$B25)</f>
        <v>428986.8</v>
      </c>
    </row>
    <row r="26" spans="1:15" x14ac:dyDescent="0.25">
      <c r="A26" s="7" t="s">
        <v>10</v>
      </c>
      <c r="B26" s="48" t="str">
        <f>CurrentYearData!$S$2</f>
        <v>WA</v>
      </c>
      <c r="C26" s="36">
        <f>SUMIFS(PreviousYearData!D$2:D$49, PreviousYearData!$A$2:$A$49, Calculations!$A26, PreviousYearData!$C$2:$C$49, Calculations!$B26)</f>
        <v>150795.36000000004</v>
      </c>
      <c r="D26" s="36">
        <f>SUMIFS(PreviousYearData!E$2:E$49, PreviousYearData!$A$2:$A$49, Calculations!$A26, PreviousYearData!$C$2:$C$49, Calculations!$B26)</f>
        <v>266166.81</v>
      </c>
      <c r="E26" s="36">
        <f>SUMIFS(PreviousYearData!F$2:F$49, PreviousYearData!$A$2:$A$49, Calculations!$A26, PreviousYearData!$C$2:$C$49, Calculations!$B26)</f>
        <v>217388.55599999995</v>
      </c>
      <c r="F26" s="36">
        <f>SUMIFS(PreviousYearData!G$2:G$49, PreviousYearData!$A$2:$A$49, Calculations!$A26, PreviousYearData!$C$2:$C$49, Calculations!$B26)</f>
        <v>188494.20000000004</v>
      </c>
      <c r="G26" s="36">
        <f>SUMIFS(PreviousYearData!H$2:H$49, PreviousYearData!$A$2:$A$49, Calculations!$A26, PreviousYearData!$C$2:$C$49, Calculations!$B26)</f>
        <v>295740.89999999997</v>
      </c>
      <c r="H26" s="36">
        <f>SUMIFS(PreviousYearData!I$2:I$49, PreviousYearData!$A$2:$A$49, Calculations!$A26, PreviousYearData!$C$2:$C$49, Calculations!$B26)</f>
        <v>310555.07999999996</v>
      </c>
      <c r="I26" s="36">
        <f>SUMIFS(PreviousYearData!J$2:J$49, PreviousYearData!$A$2:$A$49, Calculations!$A26, PreviousYearData!$C$2:$C$49, Calculations!$B26)</f>
        <v>452386.07999999978</v>
      </c>
      <c r="J26" s="36">
        <f>SUMIFS(PreviousYearData!K$2:K$49, PreviousYearData!$A$2:$A$49, Calculations!$A26, PreviousYearData!$C$2:$C$49, Calculations!$B26)</f>
        <v>428986.79999999993</v>
      </c>
    </row>
    <row r="27" spans="1:15" x14ac:dyDescent="0.25">
      <c r="F27" s="8"/>
      <c r="G27" s="8"/>
      <c r="H27" s="8"/>
      <c r="I27" s="8"/>
      <c r="J27" s="8"/>
    </row>
    <row r="28" spans="1:15" x14ac:dyDescent="0.25">
      <c r="B28" s="48" t="str">
        <f>CurrentYearData!$S$2</f>
        <v>WA</v>
      </c>
      <c r="C28" s="24">
        <f t="shared" ref="C28:E28" si="0">SUM(C22:C27)</f>
        <v>1005302.4000000001</v>
      </c>
      <c r="D28" s="24">
        <f t="shared" si="0"/>
        <v>1267461</v>
      </c>
      <c r="E28" s="24">
        <f t="shared" si="0"/>
        <v>988129.8</v>
      </c>
      <c r="F28" s="24">
        <f>SUM(F22:F27)</f>
        <v>1256628</v>
      </c>
      <c r="G28" s="24">
        <f t="shared" ref="G28:J28" si="1">SUM(G22:G27)</f>
        <v>1408290</v>
      </c>
      <c r="H28" s="24">
        <f t="shared" si="1"/>
        <v>1411614</v>
      </c>
      <c r="I28" s="24">
        <f t="shared" si="1"/>
        <v>1884941.9999999998</v>
      </c>
      <c r="J28" s="24">
        <f t="shared" si="1"/>
        <v>1949940</v>
      </c>
    </row>
    <row r="31" spans="1:15" ht="26.25" x14ac:dyDescent="0.25">
      <c r="A31" s="47" t="s">
        <v>85</v>
      </c>
      <c r="B31" s="47"/>
      <c r="C31" s="47"/>
      <c r="D31" s="47"/>
      <c r="E31" s="47"/>
      <c r="F31" s="47"/>
    </row>
    <row r="32" spans="1:15" x14ac:dyDescent="0.25">
      <c r="A32" s="1" t="s">
        <v>49</v>
      </c>
      <c r="B32" s="38" t="s">
        <v>5</v>
      </c>
      <c r="C32" s="31" t="s">
        <v>45</v>
      </c>
      <c r="D32" s="31" t="s">
        <v>46</v>
      </c>
      <c r="E32" s="31" t="s">
        <v>47</v>
      </c>
      <c r="F32" s="31" t="s">
        <v>48</v>
      </c>
    </row>
    <row r="33" spans="1:6" x14ac:dyDescent="0.25">
      <c r="A33" t="s">
        <v>49</v>
      </c>
      <c r="B33" s="7" t="s">
        <v>70</v>
      </c>
      <c r="C33" s="26">
        <v>0.80999999999999994</v>
      </c>
      <c r="D33" s="11">
        <f t="shared" ref="D33:D40" si="2">1-C33</f>
        <v>0.19000000000000006</v>
      </c>
      <c r="E33" s="11">
        <v>0.83</v>
      </c>
      <c r="F33" s="11">
        <f t="shared" ref="F33:F40" si="3">1-E33</f>
        <v>0.17000000000000004</v>
      </c>
    </row>
    <row r="34" spans="1:6" x14ac:dyDescent="0.25">
      <c r="A34" t="s">
        <v>49</v>
      </c>
      <c r="B34" s="7" t="s">
        <v>71</v>
      </c>
      <c r="C34" s="26">
        <v>0.83</v>
      </c>
      <c r="D34" s="11">
        <f t="shared" si="2"/>
        <v>0.17000000000000004</v>
      </c>
      <c r="E34" s="11">
        <v>0.85</v>
      </c>
      <c r="F34" s="11">
        <f t="shared" si="3"/>
        <v>0.15000000000000002</v>
      </c>
    </row>
    <row r="35" spans="1:6" x14ac:dyDescent="0.25">
      <c r="A35" t="s">
        <v>49</v>
      </c>
      <c r="B35" s="7" t="s">
        <v>68</v>
      </c>
      <c r="C35" s="26">
        <v>0.88</v>
      </c>
      <c r="D35" s="11">
        <f t="shared" si="2"/>
        <v>0.12</v>
      </c>
      <c r="E35" s="11">
        <v>0.92</v>
      </c>
      <c r="F35" s="11">
        <f t="shared" si="3"/>
        <v>7.999999999999996E-2</v>
      </c>
    </row>
    <row r="36" spans="1:6" x14ac:dyDescent="0.25">
      <c r="A36" t="s">
        <v>49</v>
      </c>
      <c r="B36" s="7" t="s">
        <v>66</v>
      </c>
      <c r="C36" s="26">
        <v>0.76</v>
      </c>
      <c r="D36" s="11">
        <f t="shared" si="2"/>
        <v>0.24</v>
      </c>
      <c r="E36" s="11">
        <v>0.81</v>
      </c>
      <c r="F36" s="11">
        <f t="shared" si="3"/>
        <v>0.18999999999999995</v>
      </c>
    </row>
    <row r="37" spans="1:6" x14ac:dyDescent="0.25">
      <c r="A37" t="s">
        <v>49</v>
      </c>
      <c r="B37" s="7" t="s">
        <v>67</v>
      </c>
      <c r="C37" s="26">
        <v>0.76</v>
      </c>
      <c r="D37" s="11">
        <f t="shared" si="2"/>
        <v>0.24</v>
      </c>
      <c r="E37" s="11">
        <v>0.82</v>
      </c>
      <c r="F37" s="11">
        <f t="shared" si="3"/>
        <v>0.18000000000000005</v>
      </c>
    </row>
    <row r="38" spans="1:6" x14ac:dyDescent="0.25">
      <c r="A38" t="s">
        <v>49</v>
      </c>
      <c r="B38" s="7" t="s">
        <v>69</v>
      </c>
      <c r="C38" s="26">
        <v>0.72</v>
      </c>
      <c r="D38" s="11">
        <f t="shared" si="2"/>
        <v>0.28000000000000003</v>
      </c>
      <c r="E38" s="11">
        <v>0.75</v>
      </c>
      <c r="F38" s="11">
        <f t="shared" si="3"/>
        <v>0.25</v>
      </c>
    </row>
    <row r="39" spans="1:6" x14ac:dyDescent="0.25">
      <c r="A39" t="s">
        <v>49</v>
      </c>
      <c r="B39" s="7" t="s">
        <v>97</v>
      </c>
      <c r="C39" s="26">
        <v>0.72000000000000008</v>
      </c>
      <c r="D39" s="11">
        <f t="shared" si="2"/>
        <v>0.27999999999999992</v>
      </c>
      <c r="E39" s="11">
        <v>0.8</v>
      </c>
      <c r="F39" s="11">
        <f t="shared" si="3"/>
        <v>0.19999999999999996</v>
      </c>
    </row>
    <row r="40" spans="1:6" x14ac:dyDescent="0.25">
      <c r="A40" t="s">
        <v>49</v>
      </c>
      <c r="B40" s="7" t="s">
        <v>65</v>
      </c>
      <c r="C40" s="26">
        <v>0.83000000000000007</v>
      </c>
      <c r="D40" s="11">
        <f t="shared" si="2"/>
        <v>0.16999999999999993</v>
      </c>
      <c r="E40" s="11">
        <v>0.9</v>
      </c>
      <c r="F40" s="11">
        <f t="shared" si="3"/>
        <v>9.9999999999999978E-2</v>
      </c>
    </row>
    <row r="42" spans="1:6" x14ac:dyDescent="0.25">
      <c r="B42" s="48" t="str">
        <f>CurrentYearData!$S$2</f>
        <v>WA</v>
      </c>
      <c r="C42" s="39">
        <f>VLOOKUP($B42,$B$33:$F$40, COLUMN(B1), 0)</f>
        <v>0.72000000000000008</v>
      </c>
      <c r="D42" s="39">
        <f t="shared" ref="D42:F42" si="4">VLOOKUP($B42,$B$33:$F$40, COLUMN(C1), 0)</f>
        <v>0.27999999999999992</v>
      </c>
      <c r="E42" s="39">
        <f t="shared" si="4"/>
        <v>0.8</v>
      </c>
      <c r="F42" s="39">
        <f t="shared" si="4"/>
        <v>0.19999999999999996</v>
      </c>
    </row>
    <row r="45" spans="1:6" ht="26.25" x14ac:dyDescent="0.25">
      <c r="A45" s="47" t="s">
        <v>88</v>
      </c>
      <c r="B45" s="47"/>
      <c r="C45" s="47"/>
      <c r="D45" s="47"/>
      <c r="E45" s="47"/>
      <c r="F45" s="47"/>
    </row>
    <row r="46" spans="1:6" x14ac:dyDescent="0.25">
      <c r="A46" s="38" t="s">
        <v>36</v>
      </c>
      <c r="B46" s="38" t="s">
        <v>5</v>
      </c>
      <c r="C46" s="31" t="s">
        <v>13</v>
      </c>
      <c r="D46" s="31" t="s">
        <v>14</v>
      </c>
      <c r="E46" s="31" t="s">
        <v>50</v>
      </c>
      <c r="F46" s="38"/>
    </row>
    <row r="47" spans="1:6" x14ac:dyDescent="0.25">
      <c r="A47" s="6">
        <v>2014</v>
      </c>
      <c r="B47" s="48" t="str">
        <f>CurrentYearData!$S$2</f>
        <v>WA</v>
      </c>
      <c r="C47" s="36" cm="1">
        <f t="array" ref="C47">SUMPRODUCT((HistoricalRevenue!$A$2:$A$18=C$46)*(HistoricalRevenue!$C$2:$C$18=$B$47)*(PreviousYearData!$D$1:$K$1=$A47)*(HistoricalRevenue!$D$2:$K$18))/1000</f>
        <v>1085.7265920000002</v>
      </c>
      <c r="D47" s="36" cm="1">
        <f t="array" ref="D47">SUMPRODUCT((HistoricalRevenue!$A$2:$A$18=D$46)*(HistoricalRevenue!$C$2:$C$18=$B$47)*(PreviousYearData!$D$1:$K$1=$A47)*(HistoricalRevenue!$D$2:$K$18))/1000</f>
        <v>1095.726592</v>
      </c>
      <c r="E47" s="8">
        <f>C47*$F$47</f>
        <v>2171.4531840000004</v>
      </c>
      <c r="F47" s="8">
        <v>2</v>
      </c>
    </row>
    <row r="48" spans="1:6" x14ac:dyDescent="0.25">
      <c r="A48" s="6">
        <v>2015</v>
      </c>
      <c r="B48" s="48" t="str">
        <f>CurrentYearData!$S$2</f>
        <v>WA</v>
      </c>
      <c r="C48" s="36" cm="1">
        <f t="array" ref="C48">SUMPRODUCT((HistoricalRevenue!$A$2:$A$18=C$46)*(HistoricalRevenue!$C$2:$C$18=$B$47)*(PreviousYearData!$D$1:$K$1=$A48)*(HistoricalRevenue!$D$2:$K$18))/1000</f>
        <v>1343.5086600000002</v>
      </c>
      <c r="D48" s="36" cm="1">
        <f t="array" ref="D48">SUMPRODUCT((HistoricalRevenue!$A$2:$A$18=D$46)*(HistoricalRevenue!$C$2:$C$18=$B$47)*(PreviousYearData!$D$1:$K$1=$A48)*(HistoricalRevenue!$D$2:$K$18))/1000</f>
        <v>1437.5542662000003</v>
      </c>
      <c r="E48" s="8">
        <f t="shared" ref="E48:E54" si="5">C48*$F$47</f>
        <v>2687.0173200000004</v>
      </c>
    </row>
    <row r="49" spans="1:5" x14ac:dyDescent="0.25">
      <c r="A49" s="6">
        <v>2016</v>
      </c>
      <c r="B49" s="48" t="str">
        <f>CurrentYearData!$S$2</f>
        <v>WA</v>
      </c>
      <c r="C49" s="36" cm="1">
        <f t="array" ref="C49">SUMPRODUCT((HistoricalRevenue!$A$2:$A$18=C$46)*(HistoricalRevenue!$C$2:$C$18=$B$47)*(PreviousYearData!$D$1:$K$1=$A49)*(HistoricalRevenue!$D$2:$K$18))/1000</f>
        <v>1126.4679720000001</v>
      </c>
      <c r="D49" s="36" cm="1">
        <f t="array" ref="D49">SUMPRODUCT((HistoricalRevenue!$A$2:$A$18=D$46)*(HistoricalRevenue!$C$2:$C$18=$B$47)*(PreviousYearData!$D$1:$K$1=$A49)*(HistoricalRevenue!$D$2:$K$18))/1000</f>
        <v>1092.6739328400001</v>
      </c>
      <c r="E49" s="8">
        <f t="shared" si="5"/>
        <v>2252.9359440000003</v>
      </c>
    </row>
    <row r="50" spans="1:5" x14ac:dyDescent="0.25">
      <c r="A50" s="6">
        <v>2017</v>
      </c>
      <c r="B50" s="48" t="str">
        <f>CurrentYearData!$S$2</f>
        <v>WA</v>
      </c>
      <c r="C50" s="36" cm="1">
        <f t="array" ref="C50">SUMPRODUCT((HistoricalRevenue!$A$2:$A$18=C$46)*(HistoricalRevenue!$C$2:$C$18=$B$47)*(PreviousYearData!$D$1:$K$1=$A50)*(HistoricalRevenue!$D$2:$K$18))/1000</f>
        <v>1432.55592</v>
      </c>
      <c r="D50" s="36" cm="1">
        <f t="array" ref="D50">SUMPRODUCT((HistoricalRevenue!$A$2:$A$18=D$46)*(HistoricalRevenue!$C$2:$C$18=$B$47)*(PreviousYearData!$D$1:$K$1=$A50)*(HistoricalRevenue!$D$2:$K$18))/1000</f>
        <v>1332.2770055999999</v>
      </c>
      <c r="E50" s="8">
        <f t="shared" si="5"/>
        <v>2865.11184</v>
      </c>
    </row>
    <row r="51" spans="1:5" x14ac:dyDescent="0.25">
      <c r="A51" s="6">
        <v>2018</v>
      </c>
      <c r="B51" s="48" t="str">
        <f>CurrentYearData!$S$2</f>
        <v>WA</v>
      </c>
      <c r="C51" s="36" cm="1">
        <f t="array" ref="C51">SUMPRODUCT((HistoricalRevenue!$A$2:$A$18=C$46)*(HistoricalRevenue!$C$2:$C$18=$B$47)*(PreviousYearData!$D$1:$K$1=$A51)*(HistoricalRevenue!$D$2:$K$18))/1000</f>
        <v>1478.7045000000001</v>
      </c>
      <c r="D51" s="36" cm="1">
        <f t="array" ref="D51">SUMPRODUCT((HistoricalRevenue!$A$2:$A$18=D$46)*(HistoricalRevenue!$C$2:$C$18=$B$47)*(PreviousYearData!$D$1:$K$1=$A51)*(HistoricalRevenue!$D$2:$K$18))/1000</f>
        <v>1523.0656349999999</v>
      </c>
      <c r="E51" s="8">
        <f t="shared" si="5"/>
        <v>2957.4090000000001</v>
      </c>
    </row>
    <row r="52" spans="1:5" x14ac:dyDescent="0.25">
      <c r="A52" s="6">
        <v>2019</v>
      </c>
      <c r="B52" s="48" t="str">
        <f>CurrentYearData!$S$2</f>
        <v>WA</v>
      </c>
      <c r="C52" s="36" cm="1">
        <f t="array" ref="C52">SUMPRODUCT((HistoricalRevenue!$A$2:$A$18=C$46)*(HistoricalRevenue!$C$2:$C$18=$B$47)*(PreviousYearData!$D$1:$K$1=$A52)*(HistoricalRevenue!$D$2:$K$18))/1000</f>
        <v>1609.2399599999999</v>
      </c>
      <c r="D52" s="36" cm="1">
        <f t="array" ref="D52">SUMPRODUCT((HistoricalRevenue!$A$2:$A$18=D$46)*(HistoricalRevenue!$C$2:$C$18=$B$47)*(PreviousYearData!$D$1:$K$1=$A52)*(HistoricalRevenue!$D$2:$K$18))/1000</f>
        <v>1577.0551608000001</v>
      </c>
      <c r="E52" s="8">
        <f t="shared" si="5"/>
        <v>3218.4799199999998</v>
      </c>
    </row>
    <row r="53" spans="1:5" x14ac:dyDescent="0.25">
      <c r="A53" s="6">
        <v>2020</v>
      </c>
      <c r="B53" s="48" t="str">
        <f>CurrentYearData!$S$2</f>
        <v>WA</v>
      </c>
      <c r="C53" s="36" cm="1">
        <f t="array" ref="C53">SUMPRODUCT((HistoricalRevenue!$A$2:$A$18=C$46)*(HistoricalRevenue!$C$2:$C$18=$B$47)*(PreviousYearData!$D$1:$K$1=$A53)*(HistoricalRevenue!$D$2:$K$18))/1000</f>
        <v>2073.4362000000001</v>
      </c>
      <c r="D53" s="36" cm="1">
        <f t="array" ref="D53">SUMPRODUCT((HistoricalRevenue!$A$2:$A$18=D$46)*(HistoricalRevenue!$C$2:$C$18=$B$47)*(PreviousYearData!$D$1:$K$1=$A53)*(HistoricalRevenue!$D$2:$K$18))/1000</f>
        <v>2135.6392859999996</v>
      </c>
      <c r="E53" s="8">
        <f t="shared" si="5"/>
        <v>4146.8724000000002</v>
      </c>
    </row>
    <row r="54" spans="1:5" x14ac:dyDescent="0.25">
      <c r="A54" s="6">
        <v>2021</v>
      </c>
      <c r="B54" s="48" t="str">
        <f>CurrentYearData!$S$2</f>
        <v>WA</v>
      </c>
      <c r="C54" s="36" cm="1">
        <f t="array" ref="C54">SUMPRODUCT((HistoricalRevenue!$A$2:$A$18=C$46)*(HistoricalRevenue!$C$2:$C$18=$B$47)*(PreviousYearData!$D$1:$K$1=$A54)*(HistoricalRevenue!$D$2:$K$18))/1000</f>
        <v>2183.9328000000005</v>
      </c>
      <c r="D54" s="36" cm="1">
        <f t="array" ref="D54">SUMPRODUCT((HistoricalRevenue!$A$2:$A$18=D$46)*(HistoricalRevenue!$C$2:$C$18=$B$47)*(PreviousYearData!$D$1:$K$1=$A54)*(HistoricalRevenue!$D$2:$K$18))/1000</f>
        <v>2118.414816</v>
      </c>
      <c r="E54" s="8">
        <f t="shared" si="5"/>
        <v>4367.865600000001</v>
      </c>
    </row>
    <row r="57" spans="1:5" ht="26.25" x14ac:dyDescent="0.25">
      <c r="A57" s="47" t="s">
        <v>86</v>
      </c>
      <c r="B57" s="47"/>
      <c r="C57" s="47"/>
      <c r="D57" s="47"/>
      <c r="E57" s="47"/>
    </row>
    <row r="58" spans="1:5" x14ac:dyDescent="0.25">
      <c r="A58" s="38" t="s">
        <v>36</v>
      </c>
      <c r="B58" s="38" t="s">
        <v>5</v>
      </c>
      <c r="C58" s="38" t="s">
        <v>78</v>
      </c>
      <c r="D58" s="31" t="s">
        <v>79</v>
      </c>
      <c r="E58" s="31" t="s">
        <v>80</v>
      </c>
    </row>
    <row r="59" spans="1:5" x14ac:dyDescent="0.25">
      <c r="A59" s="6" t="s">
        <v>51</v>
      </c>
      <c r="B59" s="7" t="s">
        <v>70</v>
      </c>
      <c r="C59" s="37">
        <f>'HR &amp; Campaign'!C22</f>
        <v>41</v>
      </c>
      <c r="D59" s="37">
        <f>'HR &amp; Campaign'!D22</f>
        <v>29</v>
      </c>
      <c r="E59" s="37">
        <f>'HR &amp; Campaign'!E22</f>
        <v>40</v>
      </c>
    </row>
    <row r="60" spans="1:5" x14ac:dyDescent="0.25">
      <c r="A60" s="6" t="s">
        <v>51</v>
      </c>
      <c r="B60" s="7" t="s">
        <v>71</v>
      </c>
      <c r="C60" s="37">
        <f>'HR &amp; Campaign'!C23</f>
        <v>41</v>
      </c>
      <c r="D60" s="37">
        <f>'HR &amp; Campaign'!D23</f>
        <v>41</v>
      </c>
      <c r="E60" s="37">
        <f>'HR &amp; Campaign'!E23</f>
        <v>42</v>
      </c>
    </row>
    <row r="61" spans="1:5" x14ac:dyDescent="0.25">
      <c r="A61" s="6" t="s">
        <v>51</v>
      </c>
      <c r="B61" s="7" t="s">
        <v>68</v>
      </c>
      <c r="C61" s="37">
        <f>'HR &amp; Campaign'!C24</f>
        <v>40</v>
      </c>
      <c r="D61" s="37">
        <f>'HR &amp; Campaign'!D24</f>
        <v>41</v>
      </c>
      <c r="E61" s="37">
        <f>'HR &amp; Campaign'!E24</f>
        <v>44</v>
      </c>
    </row>
    <row r="62" spans="1:5" x14ac:dyDescent="0.25">
      <c r="A62" s="6" t="s">
        <v>51</v>
      </c>
      <c r="B62" s="7" t="s">
        <v>66</v>
      </c>
      <c r="C62" s="37">
        <f>'HR &amp; Campaign'!C25</f>
        <v>52</v>
      </c>
      <c r="D62" s="37">
        <f>'HR &amp; Campaign'!D25</f>
        <v>40</v>
      </c>
      <c r="E62" s="37">
        <f>'HR &amp; Campaign'!E25</f>
        <v>49</v>
      </c>
    </row>
    <row r="63" spans="1:5" x14ac:dyDescent="0.25">
      <c r="A63" s="6" t="s">
        <v>51</v>
      </c>
      <c r="B63" s="7" t="s">
        <v>67</v>
      </c>
      <c r="C63" s="37">
        <f>'HR &amp; Campaign'!C26</f>
        <v>35</v>
      </c>
      <c r="D63" s="37">
        <f>'HR &amp; Campaign'!D26</f>
        <v>25</v>
      </c>
      <c r="E63" s="37">
        <f>'HR &amp; Campaign'!E26</f>
        <v>39</v>
      </c>
    </row>
    <row r="64" spans="1:5" x14ac:dyDescent="0.25">
      <c r="A64" s="6" t="s">
        <v>51</v>
      </c>
      <c r="B64" s="7" t="s">
        <v>69</v>
      </c>
      <c r="C64" s="37">
        <f>'HR &amp; Campaign'!C27</f>
        <v>38</v>
      </c>
      <c r="D64" s="37">
        <f>'HR &amp; Campaign'!D27</f>
        <v>36</v>
      </c>
      <c r="E64" s="37">
        <f>'HR &amp; Campaign'!E27</f>
        <v>39</v>
      </c>
    </row>
    <row r="65" spans="1:6" x14ac:dyDescent="0.25">
      <c r="A65" s="6" t="s">
        <v>51</v>
      </c>
      <c r="B65" s="7" t="s">
        <v>97</v>
      </c>
      <c r="C65" s="37">
        <f>'HR &amp; Campaign'!C28</f>
        <v>41</v>
      </c>
      <c r="D65" s="37">
        <f>'HR &amp; Campaign'!D28</f>
        <v>32</v>
      </c>
      <c r="E65" s="37">
        <f>'HR &amp; Campaign'!E28</f>
        <v>36</v>
      </c>
    </row>
    <row r="66" spans="1:6" x14ac:dyDescent="0.25">
      <c r="A66" s="6" t="s">
        <v>51</v>
      </c>
      <c r="B66" s="7" t="s">
        <v>65</v>
      </c>
      <c r="C66" s="37">
        <f>'HR &amp; Campaign'!C29</f>
        <v>44</v>
      </c>
      <c r="D66" s="37">
        <f>'HR &amp; Campaign'!D29</f>
        <v>40</v>
      </c>
      <c r="E66" s="37">
        <f>'HR &amp; Campaign'!E29</f>
        <v>37</v>
      </c>
    </row>
    <row r="67" spans="1:6" x14ac:dyDescent="0.25">
      <c r="B67" s="7"/>
      <c r="D67" s="8"/>
      <c r="E67" s="25"/>
    </row>
    <row r="68" spans="1:6" x14ac:dyDescent="0.25">
      <c r="B68" s="48" t="str">
        <f>CurrentYearData!$S$2</f>
        <v>WA</v>
      </c>
      <c r="C68" s="6">
        <f>SUMIFS(C59:C66,$B$59:$B$66,$B$68)</f>
        <v>41</v>
      </c>
      <c r="D68" s="6">
        <f>SUMIFS(D59:D66,$B$59:$B$66,$B$68)</f>
        <v>32</v>
      </c>
      <c r="E68" s="6">
        <f>SUMIFS(E59:E66,$B$59:$B$66,$B$68)</f>
        <v>36</v>
      </c>
    </row>
    <row r="69" spans="1:6" x14ac:dyDescent="0.25">
      <c r="C69" s="8"/>
      <c r="D69" s="25"/>
    </row>
    <row r="70" spans="1:6" x14ac:dyDescent="0.25">
      <c r="C70" s="8"/>
      <c r="D70" s="8"/>
    </row>
    <row r="71" spans="1:6" ht="26.25" x14ac:dyDescent="0.25">
      <c r="A71" s="47" t="s">
        <v>87</v>
      </c>
      <c r="B71" s="47"/>
      <c r="C71" s="47"/>
      <c r="D71" s="47"/>
      <c r="E71" s="47"/>
      <c r="F71" s="47"/>
    </row>
    <row r="72" spans="1:6" x14ac:dyDescent="0.25">
      <c r="A72" s="41" t="s">
        <v>91</v>
      </c>
      <c r="B72" s="41" t="s">
        <v>5</v>
      </c>
      <c r="C72" s="31">
        <v>2019</v>
      </c>
      <c r="D72" s="31">
        <v>2020</v>
      </c>
      <c r="E72" s="31">
        <v>2021</v>
      </c>
      <c r="F72" s="31">
        <v>2022</v>
      </c>
    </row>
    <row r="73" spans="1:6" x14ac:dyDescent="0.25">
      <c r="A73" s="2" t="s">
        <v>37</v>
      </c>
      <c r="B73" s="48" t="str">
        <f>CurrentYearData!$S$2</f>
        <v>WA</v>
      </c>
      <c r="C73" s="40">
        <f>SUMIFS(Satisfaction!C$2:C$49, Satisfaction!$B$2:$B$49, Calculations!$B73, Satisfaction!$A$2:$A$49, Calculations!$A73)</f>
        <v>0.5</v>
      </c>
      <c r="D73" s="40">
        <f>SUMIFS(Satisfaction!D$2:D$49, Satisfaction!$B$2:$B$49, Calculations!$B73, Satisfaction!$A$2:$A$49, Calculations!$A73)</f>
        <v>0.6</v>
      </c>
      <c r="E73" s="40">
        <f>SUMIFS(Satisfaction!E$2:E$49, Satisfaction!$B$2:$B$49, Calculations!$B73, Satisfaction!$A$2:$A$49, Calculations!$A73)</f>
        <v>0.6</v>
      </c>
      <c r="F73" s="40">
        <f>SUMIFS(Satisfaction!F$2:F$49, Satisfaction!$B$2:$B$49, Calculations!$B73, Satisfaction!$A$2:$A$49, Calculations!$A73)</f>
        <v>0.6</v>
      </c>
    </row>
    <row r="74" spans="1:6" x14ac:dyDescent="0.25">
      <c r="A74" s="2" t="s">
        <v>38</v>
      </c>
      <c r="B74" s="48" t="str">
        <f>CurrentYearData!$S$2</f>
        <v>WA</v>
      </c>
      <c r="C74" s="40">
        <f>SUMIFS(Satisfaction!C$2:C$49, Satisfaction!$B$2:$B$49, Calculations!$B74, Satisfaction!$A$2:$A$49, Calculations!$A74)</f>
        <v>0.1</v>
      </c>
      <c r="D74" s="40">
        <f>SUMIFS(Satisfaction!D$2:D$49, Satisfaction!$B$2:$B$49, Calculations!$B74, Satisfaction!$A$2:$A$49, Calculations!$A74)</f>
        <v>0.15</v>
      </c>
      <c r="E74" s="40">
        <f>SUMIFS(Satisfaction!E$2:E$49, Satisfaction!$B$2:$B$49, Calculations!$B74, Satisfaction!$A$2:$A$49, Calculations!$A74)</f>
        <v>0.15</v>
      </c>
      <c r="F74" s="40">
        <f>SUMIFS(Satisfaction!F$2:F$49, Satisfaction!$B$2:$B$49, Calculations!$B74, Satisfaction!$A$2:$A$49, Calculations!$A74)</f>
        <v>0.15</v>
      </c>
    </row>
    <row r="75" spans="1:6" x14ac:dyDescent="0.25">
      <c r="A75" s="2" t="s">
        <v>39</v>
      </c>
      <c r="B75" s="48" t="str">
        <f>CurrentYearData!$S$2</f>
        <v>WA</v>
      </c>
      <c r="C75" s="40">
        <f>SUMIFS(Satisfaction!C$2:C$49, Satisfaction!$B$2:$B$49, Calculations!$B75, Satisfaction!$A$2:$A$49, Calculations!$A75)</f>
        <v>0.2</v>
      </c>
      <c r="D75" s="40">
        <f>SUMIFS(Satisfaction!D$2:D$49, Satisfaction!$B$2:$B$49, Calculations!$B75, Satisfaction!$A$2:$A$49, Calculations!$A75)</f>
        <v>0.15</v>
      </c>
      <c r="E75" s="40">
        <f>SUMIFS(Satisfaction!E$2:E$49, Satisfaction!$B$2:$B$49, Calculations!$B75, Satisfaction!$A$2:$A$49, Calculations!$A75)</f>
        <v>0.15</v>
      </c>
      <c r="F75" s="40">
        <f>SUMIFS(Satisfaction!F$2:F$49, Satisfaction!$B$2:$B$49, Calculations!$B75, Satisfaction!$A$2:$A$49, Calculations!$A75)</f>
        <v>0.15</v>
      </c>
    </row>
    <row r="76" spans="1:6" x14ac:dyDescent="0.25">
      <c r="A76" s="2" t="s">
        <v>40</v>
      </c>
      <c r="B76" s="48" t="str">
        <f>CurrentYearData!$S$2</f>
        <v>WA</v>
      </c>
      <c r="C76" s="40">
        <f>SUMIFS(Satisfaction!C$2:C$49, Satisfaction!$B$2:$B$49, Calculations!$B76, Satisfaction!$A$2:$A$49, Calculations!$A76)</f>
        <v>0.2</v>
      </c>
      <c r="D76" s="40">
        <f>SUMIFS(Satisfaction!D$2:D$49, Satisfaction!$B$2:$B$49, Calculations!$B76, Satisfaction!$A$2:$A$49, Calculations!$A76)</f>
        <v>0.1</v>
      </c>
      <c r="E76" s="40">
        <f>SUMIFS(Satisfaction!E$2:E$49, Satisfaction!$B$2:$B$49, Calculations!$B76, Satisfaction!$A$2:$A$49, Calculations!$A76)</f>
        <v>0.1</v>
      </c>
      <c r="F76" s="40">
        <f>SUMIFS(Satisfaction!F$2:F$49, Satisfaction!$B$2:$B$49, Calculations!$B76, Satisfaction!$A$2:$A$49, Calculations!$A76)</f>
        <v>0.1</v>
      </c>
    </row>
    <row r="77" spans="1:6" x14ac:dyDescent="0.25">
      <c r="A77" s="2" t="s">
        <v>41</v>
      </c>
      <c r="B77" s="48" t="str">
        <f>CurrentYearData!$S$2</f>
        <v>WA</v>
      </c>
      <c r="C77" s="40">
        <f>SUMIFS(Satisfaction!C$2:C$49, Satisfaction!$B$2:$B$49, Calculations!$B77, Satisfaction!$A$2:$A$49, Calculations!$A77)</f>
        <v>0.72</v>
      </c>
      <c r="D77" s="40">
        <f>SUMIFS(Satisfaction!D$2:D$49, Satisfaction!$B$2:$B$49, Calculations!$B77, Satisfaction!$A$2:$A$49, Calculations!$A77)</f>
        <v>0.75</v>
      </c>
      <c r="E77" s="40">
        <f>SUMIFS(Satisfaction!E$2:E$49, Satisfaction!$B$2:$B$49, Calculations!$B77, Satisfaction!$A$2:$A$49, Calculations!$A77)</f>
        <v>0.77</v>
      </c>
      <c r="F77" s="40">
        <f>SUMIFS(Satisfaction!F$2:F$49, Satisfaction!$B$2:$B$49, Calculations!$B77, Satisfaction!$A$2:$A$49, Calculations!$A77)</f>
        <v>0.8</v>
      </c>
    </row>
    <row r="78" spans="1:6" x14ac:dyDescent="0.25">
      <c r="A78" s="2" t="s">
        <v>42</v>
      </c>
      <c r="B78" s="48" t="str">
        <f>CurrentYearData!$S$2</f>
        <v>WA</v>
      </c>
      <c r="C78" s="40">
        <f>SUMIFS(Satisfaction!C$2:C$49, Satisfaction!$B$2:$B$49, Calculations!$B78, Satisfaction!$A$2:$A$49, Calculations!$A78)</f>
        <v>0.87</v>
      </c>
      <c r="D78" s="40">
        <f>SUMIFS(Satisfaction!D$2:D$49, Satisfaction!$B$2:$B$49, Calculations!$B78, Satisfaction!$A$2:$A$49, Calculations!$A78)</f>
        <v>0.87</v>
      </c>
      <c r="E78" s="40">
        <f>SUMIFS(Satisfaction!E$2:E$49, Satisfaction!$B$2:$B$49, Calculations!$B78, Satisfaction!$A$2:$A$49, Calculations!$A78)</f>
        <v>0.9</v>
      </c>
      <c r="F78" s="40">
        <f>SUMIFS(Satisfaction!F$2:F$49, Satisfaction!$B$2:$B$49, Calculations!$B78, Satisfaction!$A$2:$A$49, Calculations!$A78)</f>
        <v>0.9</v>
      </c>
    </row>
    <row r="83" spans="1:13" ht="26.25" x14ac:dyDescent="0.25">
      <c r="A83" s="47" t="s">
        <v>92</v>
      </c>
      <c r="B83" s="47"/>
      <c r="C83" s="47"/>
      <c r="D83" s="47"/>
      <c r="E83" s="47"/>
      <c r="F83" s="47"/>
      <c r="G83" s="47"/>
    </row>
    <row r="84" spans="1:13" x14ac:dyDescent="0.25">
      <c r="A84" s="42" t="s">
        <v>5</v>
      </c>
      <c r="B84" s="42" t="s">
        <v>43</v>
      </c>
      <c r="C84" s="43" t="s">
        <v>44</v>
      </c>
      <c r="D84" s="44" t="s">
        <v>16</v>
      </c>
      <c r="E84" s="44" t="s">
        <v>72</v>
      </c>
      <c r="F84" s="44" t="s">
        <v>73</v>
      </c>
      <c r="G84" s="44" t="s">
        <v>17</v>
      </c>
      <c r="I84" s="53"/>
      <c r="J84" s="54" t="s">
        <v>16</v>
      </c>
      <c r="K84" s="54" t="s">
        <v>72</v>
      </c>
      <c r="L84" s="54" t="s">
        <v>73</v>
      </c>
      <c r="M84" s="54" t="s">
        <v>17</v>
      </c>
    </row>
    <row r="85" spans="1:13" x14ac:dyDescent="0.25">
      <c r="A85" s="48" t="str">
        <f>CurrentYearData!$S$2</f>
        <v>WA</v>
      </c>
      <c r="B85" s="45" t="s">
        <v>16</v>
      </c>
      <c r="C85" s="13">
        <v>44562</v>
      </c>
      <c r="D85" s="36">
        <f>SUMIFS(Debtors!D$2:D$98, Debtors!$B$2:$B$98, $A85,Debtors!$C$2:$C$98, $C85)</f>
        <v>227469.99999999997</v>
      </c>
      <c r="I85" s="55">
        <v>44562</v>
      </c>
      <c r="J85" s="56">
        <v>809370</v>
      </c>
      <c r="K85" s="56">
        <v>687964.5</v>
      </c>
      <c r="L85" s="56">
        <v>309584.02499999997</v>
      </c>
      <c r="M85" s="56">
        <v>139312.81124999997</v>
      </c>
    </row>
    <row r="86" spans="1:13" x14ac:dyDescent="0.25">
      <c r="A86" s="48" t="str">
        <f>CurrentYearData!$S$2</f>
        <v>WA</v>
      </c>
      <c r="C86" s="13">
        <v>44593</v>
      </c>
      <c r="D86" s="36">
        <f>SUMIFS(Debtors!D$2:D$98, Debtors!$B$2:$B$98, $A86,Debtors!$C$2:$C$98, $C86)</f>
        <v>225195.29999999996</v>
      </c>
      <c r="I86" s="55">
        <v>44593</v>
      </c>
      <c r="J86" s="56">
        <v>866025.9</v>
      </c>
      <c r="K86" s="56">
        <v>749881.30500000005</v>
      </c>
      <c r="L86" s="56">
        <v>297200.66399999993</v>
      </c>
      <c r="M86" s="56">
        <v>139312.81124999997</v>
      </c>
    </row>
    <row r="87" spans="1:13" x14ac:dyDescent="0.25">
      <c r="A87" s="48" t="str">
        <f>CurrentYearData!$S$2</f>
        <v>WA</v>
      </c>
      <c r="C87" s="13">
        <v>44621</v>
      </c>
      <c r="D87" s="36">
        <f>SUMIFS(Debtors!D$2:D$98, Debtors!$B$2:$B$98, $A87,Debtors!$C$2:$C$98, $C87)</f>
        <v>164392.56899999996</v>
      </c>
      <c r="I87" s="55">
        <v>44621</v>
      </c>
      <c r="J87" s="56">
        <v>623538.64800000004</v>
      </c>
      <c r="K87" s="56">
        <v>532415.72655000002</v>
      </c>
      <c r="L87" s="56">
        <v>234788.52455999996</v>
      </c>
      <c r="M87" s="56">
        <v>108663.99277499998</v>
      </c>
    </row>
    <row r="88" spans="1:13" x14ac:dyDescent="0.25">
      <c r="A88" s="48" t="str">
        <f>CurrentYearData!$S$2</f>
        <v>WA</v>
      </c>
      <c r="C88" s="13">
        <v>44652</v>
      </c>
      <c r="D88" s="36">
        <f>SUMIFS(Debtors!D$2:D$98, Debtors!$B$2:$B$98, $A88,Debtors!$C$2:$C$98, $C88)</f>
        <v>129870.12950999997</v>
      </c>
      <c r="I88" s="55">
        <v>44652</v>
      </c>
      <c r="J88" s="56">
        <v>455183.21304</v>
      </c>
      <c r="K88" s="56">
        <v>383339.32311599999</v>
      </c>
      <c r="L88" s="56">
        <v>169047.73768319996</v>
      </c>
      <c r="M88" s="56">
        <v>85844.554292249988</v>
      </c>
    </row>
    <row r="89" spans="1:13" x14ac:dyDescent="0.25">
      <c r="A89" s="48" t="str">
        <f>CurrentYearData!$S$2</f>
        <v>WA</v>
      </c>
      <c r="C89" s="13">
        <v>44682</v>
      </c>
      <c r="D89" s="36">
        <f>SUMIFS(Debtors!D$2:D$98, Debtors!$B$2:$B$98, $A89,Debtors!$C$2:$C$98, $C89)</f>
        <v>193349.49999999997</v>
      </c>
      <c r="I89" s="55">
        <v>44682</v>
      </c>
      <c r="J89" s="56">
        <v>687964.5</v>
      </c>
      <c r="K89" s="56">
        <v>584769.82499999995</v>
      </c>
      <c r="L89" s="56">
        <v>263146.42124999996</v>
      </c>
      <c r="M89" s="56">
        <v>118415.88956249997</v>
      </c>
    </row>
    <row r="90" spans="1:13" x14ac:dyDescent="0.25">
      <c r="A90" s="48" t="str">
        <f>CurrentYearData!$S$2</f>
        <v>WA</v>
      </c>
      <c r="C90" s="13">
        <v>44713</v>
      </c>
      <c r="D90" s="36">
        <f>SUMIFS(Debtors!D$2:D$98, Debtors!$B$2:$B$98, $A90,Debtors!$C$2:$C$98, $C90)</f>
        <v>191416.00499999995</v>
      </c>
      <c r="I90" s="55">
        <v>44713</v>
      </c>
      <c r="J90" s="56">
        <v>736122.01500000001</v>
      </c>
      <c r="K90" s="56">
        <v>637399.10924999998</v>
      </c>
      <c r="L90" s="56">
        <v>252620.56439999994</v>
      </c>
      <c r="M90" s="56">
        <v>118415.88956249997</v>
      </c>
    </row>
    <row r="91" spans="1:13" x14ac:dyDescent="0.25">
      <c r="A91" s="48" t="str">
        <f>CurrentYearData!$S$2</f>
        <v>WA</v>
      </c>
      <c r="C91" s="13">
        <v>44743</v>
      </c>
      <c r="D91" s="36">
        <f>SUMIFS(Debtors!D$2:D$98, Debtors!$B$2:$B$98, $A91,Debtors!$C$2:$C$98, $C91)</f>
        <v>229744.69999999998</v>
      </c>
      <c r="I91" s="55">
        <v>44743</v>
      </c>
      <c r="J91" s="56">
        <v>793182.6</v>
      </c>
      <c r="K91" s="56">
        <v>653566.27500000002</v>
      </c>
      <c r="L91" s="56">
        <v>303392.34449999995</v>
      </c>
      <c r="M91" s="56">
        <v>151850.96426249997</v>
      </c>
    </row>
    <row r="92" spans="1:13" x14ac:dyDescent="0.25">
      <c r="A92" s="48" t="str">
        <f>CurrentYearData!$S$2</f>
        <v>WA</v>
      </c>
      <c r="C92" s="13">
        <v>44774</v>
      </c>
      <c r="D92" s="36">
        <f>SUMIFS(Debtors!D$2:D$98, Debtors!$B$2:$B$98, $A92,Debtors!$C$2:$C$98, $C92)</f>
        <v>162140.61599999995</v>
      </c>
      <c r="I92" s="55">
        <v>44774</v>
      </c>
      <c r="J92" s="56">
        <v>692820.72000000009</v>
      </c>
      <c r="K92" s="56">
        <v>547413.35265000002</v>
      </c>
      <c r="L92" s="56">
        <v>208040.46479999993</v>
      </c>
      <c r="M92" s="56">
        <v>105877.73654999997</v>
      </c>
    </row>
    <row r="93" spans="1:13" x14ac:dyDescent="0.25">
      <c r="A93" s="48" t="str">
        <f>CurrentYearData!$S$2</f>
        <v>WA</v>
      </c>
      <c r="C93" s="13">
        <v>44805</v>
      </c>
      <c r="D93" s="36">
        <f>SUMIFS(Debtors!D$2:D$98, Debtors!$B$2:$B$98, $A93,Debtors!$C$2:$C$98, $C93)</f>
        <v>123294.42674999997</v>
      </c>
      <c r="I93" s="55">
        <v>44805</v>
      </c>
      <c r="J93" s="56">
        <v>436477.05359999998</v>
      </c>
      <c r="K93" s="56">
        <v>383339.32311599999</v>
      </c>
      <c r="L93" s="56">
        <v>183135.04915679997</v>
      </c>
      <c r="M93" s="56">
        <v>85844.554292249988</v>
      </c>
    </row>
    <row r="94" spans="1:13" x14ac:dyDescent="0.25">
      <c r="A94" s="48" t="str">
        <f>CurrentYearData!$S$2</f>
        <v>WA</v>
      </c>
      <c r="C94" s="13">
        <v>44835</v>
      </c>
      <c r="D94" s="36">
        <f>SUMIFS(Debtors!D$2:D$98, Debtors!$B$2:$B$98, $A94,Debtors!$C$2:$C$98, $C94)</f>
        <v>102597.40231289998</v>
      </c>
      <c r="I94" s="55">
        <v>44835</v>
      </c>
      <c r="J94" s="56">
        <v>364146.57043200004</v>
      </c>
      <c r="K94" s="56">
        <v>276004.31264351995</v>
      </c>
      <c r="L94" s="56">
        <v>120023.89375507196</v>
      </c>
      <c r="M94" s="56">
        <v>66958.752347955</v>
      </c>
    </row>
    <row r="95" spans="1:13" x14ac:dyDescent="0.25">
      <c r="A95" s="48" t="str">
        <f>CurrentYearData!$S$2</f>
        <v>WA</v>
      </c>
      <c r="C95" s="13">
        <v>44866</v>
      </c>
      <c r="D95" s="36">
        <f>SUMIFS(Debtors!D$2:D$98, Debtors!$B$2:$B$98, $A95,Debtors!$C$2:$C$98, $C95)</f>
        <v>145012.12499999997</v>
      </c>
      <c r="I95" s="55">
        <v>44866</v>
      </c>
      <c r="J95" s="56">
        <v>1018462.6458000001</v>
      </c>
      <c r="K95" s="56">
        <v>903352.42565999995</v>
      </c>
      <c r="L95" s="56">
        <v>384509.5507304999</v>
      </c>
      <c r="M95" s="56">
        <v>177623.83434374997</v>
      </c>
    </row>
    <row r="96" spans="1:13" x14ac:dyDescent="0.25">
      <c r="A96" s="48" t="str">
        <f>CurrentYearData!$S$2</f>
        <v>WA</v>
      </c>
      <c r="C96" s="13">
        <v>44896</v>
      </c>
      <c r="D96" s="36">
        <f>SUMIFS(Debtors!D$2:D$98, Debtors!$B$2:$B$98, $A96,Debtors!$C$2:$C$98, $C96)</f>
        <v>137819.52359999996</v>
      </c>
      <c r="E96" s="8"/>
      <c r="I96" s="55">
        <v>44896</v>
      </c>
      <c r="J96" s="56">
        <v>556508.24334000004</v>
      </c>
      <c r="K96" s="56">
        <v>486463.00017959997</v>
      </c>
      <c r="L96" s="56">
        <v>194618.88281375996</v>
      </c>
      <c r="M96" s="56">
        <v>97195.762152899988</v>
      </c>
    </row>
    <row r="97" spans="1:11" x14ac:dyDescent="0.25">
      <c r="A97" s="48" t="str">
        <f>CurrentYearData!$S$2</f>
        <v>WA</v>
      </c>
      <c r="B97" s="45" t="s">
        <v>72</v>
      </c>
      <c r="C97" s="13">
        <v>44562</v>
      </c>
      <c r="E97" s="36">
        <f>SUMIFS(Debtors!E$2:E$98, Debtors!$B$2:$B$98, $A97,Debtors!$C$2:$C$98, $C97)</f>
        <v>202448.3</v>
      </c>
    </row>
    <row r="98" spans="1:11" x14ac:dyDescent="0.25">
      <c r="A98" s="48" t="str">
        <f>CurrentYearData!$S$2</f>
        <v>WA</v>
      </c>
      <c r="C98" s="13">
        <v>44593</v>
      </c>
      <c r="E98" s="36">
        <f>SUMIFS(Debtors!E$2:E$98, Debtors!$B$2:$B$98, $A98,Debtors!$C$2:$C$98, $C98)</f>
        <v>208521.74899999998</v>
      </c>
      <c r="I98" s="6" t="s">
        <v>94</v>
      </c>
      <c r="J98" s="6">
        <v>12</v>
      </c>
    </row>
    <row r="99" spans="1:11" x14ac:dyDescent="0.25">
      <c r="A99" s="48" t="str">
        <f>CurrentYearData!$S$2</f>
        <v>WA</v>
      </c>
      <c r="C99" s="13">
        <v>44621</v>
      </c>
      <c r="E99" s="36">
        <f>SUMIFS(Debtors!E$2:E$98, Debtors!$B$2:$B$98, $A99,Debtors!$C$2:$C$98, $C99)</f>
        <v>160561.74672999998</v>
      </c>
      <c r="J99" s="6" t="s">
        <v>95</v>
      </c>
      <c r="K99" s="6" t="s">
        <v>96</v>
      </c>
    </row>
    <row r="100" spans="1:11" x14ac:dyDescent="0.25">
      <c r="A100" s="48" t="str">
        <f>CurrentYearData!$S$2</f>
        <v>WA</v>
      </c>
      <c r="C100" s="13">
        <v>44652</v>
      </c>
      <c r="E100" s="36">
        <f>SUMIFS(Debtors!E$2:E$98, Debtors!$B$2:$B$98, $A100,Debtors!$C$2:$C$98, $C100)</f>
        <v>126843.77991669999</v>
      </c>
      <c r="I100" s="6">
        <f>I99+$J$98+0.5</f>
        <v>12.5</v>
      </c>
      <c r="J100" s="6">
        <v>0</v>
      </c>
      <c r="K100" s="6">
        <v>1</v>
      </c>
    </row>
    <row r="101" spans="1:11" x14ac:dyDescent="0.25">
      <c r="A101" s="48" t="str">
        <f>CurrentYearData!$S$2</f>
        <v>WA</v>
      </c>
      <c r="C101" s="13">
        <v>44682</v>
      </c>
      <c r="E101" s="36">
        <f>SUMIFS(Debtors!E$2:E$98, Debtors!$B$2:$B$98, $A101,Debtors!$C$2:$C$98, $C101)</f>
        <v>172081.05499999999</v>
      </c>
      <c r="I101" s="6">
        <f>I100+$J$98</f>
        <v>24.5</v>
      </c>
      <c r="J101" s="6">
        <v>0</v>
      </c>
      <c r="K101" s="6">
        <v>1</v>
      </c>
    </row>
    <row r="102" spans="1:11" x14ac:dyDescent="0.25">
      <c r="A102" s="48" t="str">
        <f>CurrentYearData!$S$2</f>
        <v>WA</v>
      </c>
      <c r="C102" s="13">
        <v>44713</v>
      </c>
      <c r="E102" s="36">
        <f>SUMIFS(Debtors!E$2:E$98, Debtors!$B$2:$B$98, $A102,Debtors!$C$2:$C$98, $C102)</f>
        <v>177243.48664999998</v>
      </c>
      <c r="I102" s="6">
        <f>I101+$J$98</f>
        <v>36.5</v>
      </c>
      <c r="J102" s="6">
        <v>0</v>
      </c>
    </row>
    <row r="103" spans="1:11" x14ac:dyDescent="0.25">
      <c r="A103" s="48" t="str">
        <f>CurrentYearData!$S$2</f>
        <v>WA</v>
      </c>
      <c r="C103" s="13">
        <v>44743</v>
      </c>
      <c r="E103" s="36">
        <f>SUMIFS(Debtors!E$2:E$98, Debtors!$B$2:$B$98, $A103,Debtors!$C$2:$C$98, $C103)</f>
        <v>216619.68100000001</v>
      </c>
      <c r="F103" s="8"/>
    </row>
    <row r="104" spans="1:11" x14ac:dyDescent="0.25">
      <c r="A104" s="48" t="str">
        <f>CurrentYearData!$S$2</f>
        <v>WA</v>
      </c>
      <c r="C104" s="13">
        <v>44774</v>
      </c>
      <c r="E104" s="36">
        <f>SUMIFS(Debtors!E$2:E$98, Debtors!$B$2:$B$98, $A104,Debtors!$C$2:$C$98, $C104)</f>
        <v>160561.74672999998</v>
      </c>
      <c r="F104" s="8"/>
    </row>
    <row r="105" spans="1:11" x14ac:dyDescent="0.25">
      <c r="A105" s="48" t="str">
        <f>CurrentYearData!$S$2</f>
        <v>WA</v>
      </c>
      <c r="C105" s="13">
        <v>44805</v>
      </c>
      <c r="E105" s="36">
        <f>SUMIFS(Debtors!E$2:E$98, Debtors!$B$2:$B$98, $A105,Debtors!$C$2:$C$98, $C105)</f>
        <v>122026.92751479999</v>
      </c>
      <c r="F105" s="8"/>
    </row>
    <row r="106" spans="1:11" x14ac:dyDescent="0.25">
      <c r="A106" s="48" t="str">
        <f>CurrentYearData!$S$2</f>
        <v>WA</v>
      </c>
      <c r="C106" s="13">
        <v>44835</v>
      </c>
      <c r="E106" s="36">
        <f>SUMIFS(Debtors!E$2:E$98, Debtors!$B$2:$B$98, $A106,Debtors!$C$2:$C$98, $C106)</f>
        <v>95132.834937524996</v>
      </c>
      <c r="F106" s="8"/>
    </row>
    <row r="107" spans="1:11" x14ac:dyDescent="0.25">
      <c r="A107" s="48" t="str">
        <f>CurrentYearData!$S$2</f>
        <v>WA</v>
      </c>
      <c r="C107" s="13">
        <v>44866</v>
      </c>
      <c r="E107" s="36">
        <f>SUMIFS(Debtors!E$2:E$98, Debtors!$B$2:$B$98, $A107,Debtors!$C$2:$C$98, $C107)</f>
        <v>120456.73849999999</v>
      </c>
      <c r="F107" s="8"/>
    </row>
    <row r="108" spans="1:11" x14ac:dyDescent="0.25">
      <c r="A108" s="48" t="str">
        <f>CurrentYearData!$S$2</f>
        <v>WA</v>
      </c>
      <c r="C108" s="13">
        <v>44896</v>
      </c>
      <c r="E108" s="36">
        <f>SUMIFS(Debtors!E$2:E$98, Debtors!$B$2:$B$98, $A108,Debtors!$C$2:$C$98, $C108)</f>
        <v>140022.35445349998</v>
      </c>
      <c r="F108" s="8"/>
    </row>
    <row r="109" spans="1:11" x14ac:dyDescent="0.25">
      <c r="A109" s="48" t="str">
        <f>CurrentYearData!$S$2</f>
        <v>WA</v>
      </c>
      <c r="B109" s="46" t="s">
        <v>73</v>
      </c>
      <c r="C109" s="13">
        <v>44562</v>
      </c>
      <c r="E109" s="8"/>
      <c r="F109" s="36">
        <f>SUMIFS(Debtors!F$2:F$98, Debtors!$B$2:$B$98, $A109,Debtors!$C$2:$C$98, $C109)</f>
        <v>66807.938999999998</v>
      </c>
      <c r="G109" s="8"/>
    </row>
    <row r="110" spans="1:11" x14ac:dyDescent="0.25">
      <c r="A110" s="48" t="str">
        <f>CurrentYearData!$S$2</f>
        <v>WA</v>
      </c>
      <c r="C110" s="13">
        <v>44593</v>
      </c>
      <c r="E110" s="8"/>
      <c r="F110" s="36">
        <f>SUMIFS(Debtors!F$2:F$98, Debtors!$B$2:$B$98, $A110,Debtors!$C$2:$C$98, $C110)</f>
        <v>70816.415340000007</v>
      </c>
      <c r="G110" s="8"/>
    </row>
    <row r="111" spans="1:11" x14ac:dyDescent="0.25">
      <c r="A111" s="48" t="str">
        <f>CurrentYearData!$S$2</f>
        <v>WA</v>
      </c>
      <c r="C111" s="13">
        <v>44621</v>
      </c>
      <c r="E111" s="8"/>
      <c r="F111" s="36">
        <f>SUMIFS(Debtors!F$2:F$98, Debtors!$B$2:$B$98, $A111,Debtors!$C$2:$C$98, $C111)</f>
        <v>49571.490738</v>
      </c>
      <c r="G111" s="8"/>
    </row>
    <row r="112" spans="1:11" x14ac:dyDescent="0.25">
      <c r="A112" s="48" t="str">
        <f>CurrentYearData!$S$2</f>
        <v>WA</v>
      </c>
      <c r="C112" s="13">
        <v>44652</v>
      </c>
      <c r="E112" s="8"/>
      <c r="F112" s="36">
        <f>SUMIFS(Debtors!F$2:F$98, Debtors!$B$2:$B$98, $A112,Debtors!$C$2:$C$98, $C112)</f>
        <v>36187.188238739996</v>
      </c>
      <c r="G112" s="8"/>
    </row>
    <row r="113" spans="1:7" x14ac:dyDescent="0.25">
      <c r="A113" s="48" t="str">
        <f>CurrentYearData!$S$2</f>
        <v>WA</v>
      </c>
      <c r="C113" s="13">
        <v>44682</v>
      </c>
      <c r="E113" s="8"/>
      <c r="F113" s="36">
        <f>SUMIFS(Debtors!F$2:F$98, Debtors!$B$2:$B$98, $A113,Debtors!$C$2:$C$98, $C113)</f>
        <v>56786.748149999999</v>
      </c>
      <c r="G113" s="8"/>
    </row>
    <row r="114" spans="1:7" x14ac:dyDescent="0.25">
      <c r="A114" s="48" t="str">
        <f>CurrentYearData!$S$2</f>
        <v>WA</v>
      </c>
      <c r="C114" s="13">
        <v>44713</v>
      </c>
      <c r="E114" s="8"/>
      <c r="F114" s="36">
        <f>SUMIFS(Debtors!F$2:F$98, Debtors!$B$2:$B$98, $A114,Debtors!$C$2:$C$98, $C114)</f>
        <v>60193.953039000007</v>
      </c>
      <c r="G114" s="8"/>
    </row>
    <row r="115" spans="1:7" x14ac:dyDescent="0.25">
      <c r="A115" s="48" t="str">
        <f>CurrentYearData!$S$2</f>
        <v>WA</v>
      </c>
      <c r="C115" s="13">
        <v>44743</v>
      </c>
      <c r="F115" s="36">
        <f>SUMIFS(Debtors!F$2:F$98, Debtors!$B$2:$B$98, $A115,Debtors!$C$2:$C$98, $C115)</f>
        <v>68144.097779999996</v>
      </c>
    </row>
    <row r="116" spans="1:7" x14ac:dyDescent="0.25">
      <c r="A116" s="48" t="str">
        <f>CurrentYearData!$S$2</f>
        <v>WA</v>
      </c>
      <c r="C116" s="13">
        <v>44774</v>
      </c>
      <c r="F116" s="36">
        <f>SUMIFS(Debtors!F$2:F$98, Debtors!$B$2:$B$98, $A116,Debtors!$C$2:$C$98, $C116)</f>
        <v>50987.819044800002</v>
      </c>
    </row>
    <row r="117" spans="1:7" x14ac:dyDescent="0.25">
      <c r="A117" s="48" t="str">
        <f>CurrentYearData!$S$2</f>
        <v>WA</v>
      </c>
      <c r="C117" s="13">
        <v>44805</v>
      </c>
      <c r="F117" s="36">
        <f>SUMIFS(Debtors!F$2:F$98, Debtors!$B$2:$B$98, $A117,Debtors!$C$2:$C$98, $C117)</f>
        <v>39657.192590400002</v>
      </c>
    </row>
    <row r="118" spans="1:7" x14ac:dyDescent="0.25">
      <c r="A118" s="48" t="str">
        <f>CurrentYearData!$S$2</f>
        <v>WA</v>
      </c>
      <c r="C118" s="13">
        <v>44835</v>
      </c>
      <c r="F118" s="36">
        <f>SUMIFS(Debtors!F$2:F$98, Debtors!$B$2:$B$98, $A118,Debtors!$C$2:$C$98, $C118)</f>
        <v>25331.031767117995</v>
      </c>
    </row>
    <row r="119" spans="1:7" x14ac:dyDescent="0.25">
      <c r="A119" s="48" t="str">
        <f>CurrentYearData!$S$2</f>
        <v>WA</v>
      </c>
      <c r="C119" s="13">
        <v>44866</v>
      </c>
      <c r="F119" s="36">
        <f>SUMIFS(Debtors!F$2:F$98, Debtors!$B$2:$B$98, $A119,Debtors!$C$2:$C$98, $C119)</f>
        <v>42022.193631000002</v>
      </c>
    </row>
    <row r="120" spans="1:7" x14ac:dyDescent="0.25">
      <c r="A120" s="48" t="str">
        <f>CurrentYearData!$S$2</f>
        <v>WA</v>
      </c>
      <c r="C120" s="13">
        <v>44896</v>
      </c>
      <c r="F120" s="36">
        <f>SUMIFS(Debtors!F$2:F$98, Debtors!$B$2:$B$98, $A120,Debtors!$C$2:$C$98, $C120)</f>
        <v>44543.525248860002</v>
      </c>
      <c r="G120" s="8"/>
    </row>
    <row r="121" spans="1:7" x14ac:dyDescent="0.25">
      <c r="A121" s="48" t="str">
        <f>CurrentYearData!$S$2</f>
        <v>WA</v>
      </c>
      <c r="B121" s="46" t="s">
        <v>17</v>
      </c>
      <c r="C121" s="13">
        <v>44562</v>
      </c>
      <c r="G121" s="36">
        <f>SUMIFS(Debtors!G$2:G$98, Debtors!$B$2:$B$98, $A121,Debtors!$C$2:$C$98, $C121)</f>
        <v>22046.619870000002</v>
      </c>
    </row>
    <row r="122" spans="1:7" x14ac:dyDescent="0.25">
      <c r="A122" s="48" t="str">
        <f>CurrentYearData!$S$2</f>
        <v>WA</v>
      </c>
      <c r="C122" s="13">
        <v>44593</v>
      </c>
      <c r="G122" s="36">
        <f>SUMIFS(Debtors!G$2:G$98, Debtors!$B$2:$B$98, $A122,Debtors!$C$2:$C$98, $C122)</f>
        <v>21605.687472600002</v>
      </c>
    </row>
    <row r="123" spans="1:7" x14ac:dyDescent="0.25">
      <c r="A123" s="48" t="str">
        <f>CurrentYearData!$S$2</f>
        <v>WA</v>
      </c>
      <c r="C123" s="13">
        <v>44621</v>
      </c>
      <c r="G123" s="36">
        <f>SUMIFS(Debtors!G$2:G$98, Debtors!$B$2:$B$98, $A123,Debtors!$C$2:$C$98, $C123)</f>
        <v>16420.322479176</v>
      </c>
    </row>
    <row r="124" spans="1:7" x14ac:dyDescent="0.25">
      <c r="A124" s="48" t="str">
        <f>CurrentYearData!$S$2</f>
        <v>WA</v>
      </c>
      <c r="C124" s="13">
        <v>44652</v>
      </c>
      <c r="G124" s="36">
        <f>SUMIFS(Debtors!G$2:G$98, Debtors!$B$2:$B$98, $A124,Debtors!$C$2:$C$98, $C124)</f>
        <v>12315.241859382</v>
      </c>
    </row>
    <row r="125" spans="1:7" x14ac:dyDescent="0.25">
      <c r="A125" s="48" t="str">
        <f>CurrentYearData!$S$2</f>
        <v>WA</v>
      </c>
      <c r="C125" s="13">
        <v>44682</v>
      </c>
      <c r="G125" s="36">
        <f>SUMIFS(Debtors!G$2:G$98, Debtors!$B$2:$B$98, $A125,Debtors!$C$2:$C$98, $C125)</f>
        <v>18739.626889500003</v>
      </c>
    </row>
    <row r="126" spans="1:7" x14ac:dyDescent="0.25">
      <c r="A126" s="48" t="str">
        <f>CurrentYearData!$S$2</f>
        <v>WA</v>
      </c>
      <c r="C126" s="13">
        <v>44713</v>
      </c>
      <c r="G126" s="36">
        <f>SUMIFS(Debtors!G$2:G$98, Debtors!$B$2:$B$98, $A126,Debtors!$C$2:$C$98, $C126)</f>
        <v>18364.83435171</v>
      </c>
    </row>
    <row r="127" spans="1:7" x14ac:dyDescent="0.25">
      <c r="A127" s="48" t="str">
        <f>CurrentYearData!$S$2</f>
        <v>WA</v>
      </c>
      <c r="C127" s="13">
        <v>44743</v>
      </c>
      <c r="G127" s="36">
        <f>SUMIFS(Debtors!G$2:G$98, Debtors!$B$2:$B$98, $A127,Debtors!$C$2:$C$98, $C127)</f>
        <v>21605.687472600002</v>
      </c>
    </row>
    <row r="128" spans="1:7" x14ac:dyDescent="0.25">
      <c r="A128" s="48" t="str">
        <f>CurrentYearData!$S$2</f>
        <v>WA</v>
      </c>
      <c r="C128" s="13">
        <v>44774</v>
      </c>
      <c r="G128" s="36">
        <f>SUMIFS(Debtors!G$2:G$98, Debtors!$B$2:$B$98, $A128,Debtors!$C$2:$C$98, $C128)</f>
        <v>16420.322479176</v>
      </c>
    </row>
    <row r="129" spans="1:7" x14ac:dyDescent="0.25">
      <c r="A129" s="48" t="str">
        <f>CurrentYearData!$S$2</f>
        <v>WA</v>
      </c>
      <c r="C129" s="13">
        <v>44805</v>
      </c>
      <c r="G129" s="36">
        <f>SUMIFS(Debtors!G$2:G$98, Debtors!$B$2:$B$98, $A129,Debtors!$C$2:$C$98, $C129)</f>
        <v>12151.038634590241</v>
      </c>
    </row>
    <row r="130" spans="1:7" x14ac:dyDescent="0.25">
      <c r="A130" s="48" t="str">
        <f>CurrentYearData!$S$2</f>
        <v>WA</v>
      </c>
      <c r="C130" s="13">
        <v>44835</v>
      </c>
      <c r="G130" s="36">
        <f>SUMIFS(Debtors!G$2:G$98, Debtors!$B$2:$B$98, $A130,Debtors!$C$2:$C$98, $C130)</f>
        <v>9852.1934875056013</v>
      </c>
    </row>
    <row r="131" spans="1:7" x14ac:dyDescent="0.25">
      <c r="A131" s="48" t="str">
        <f>CurrentYearData!$S$2</f>
        <v>WA</v>
      </c>
      <c r="C131" s="13">
        <v>44866</v>
      </c>
      <c r="G131" s="36">
        <f>SUMIFS(Debtors!G$2:G$98, Debtors!$B$2:$B$98, $A131,Debtors!$C$2:$C$98, $C131)</f>
        <v>13492.531360440002</v>
      </c>
    </row>
    <row r="132" spans="1:7" x14ac:dyDescent="0.25">
      <c r="A132" s="48" t="str">
        <f>CurrentYearData!$S$2</f>
        <v>WA</v>
      </c>
      <c r="C132" s="13">
        <v>44896</v>
      </c>
      <c r="G132" s="36">
        <f>SUMIFS(Debtors!G$2:G$98, Debtors!$B$2:$B$98, $A132,Debtors!$C$2:$C$98, $C132)</f>
        <v>14324.5707943338</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topLeftCell="A11" zoomScale="90" zoomScaleNormal="90" workbookViewId="0">
      <selection activeCell="Z23" sqref="Z23"/>
    </sheetView>
  </sheetViews>
  <sheetFormatPr defaultRowHeight="15" x14ac:dyDescent="0.25"/>
  <cols>
    <col min="1" max="1" width="3.5703125" style="6" customWidth="1"/>
    <col min="2" max="2" width="12" style="6" customWidth="1"/>
    <col min="3" max="5" width="8.42578125" style="6" customWidth="1"/>
    <col min="6" max="6" width="9.42578125" style="6" bestFit="1" customWidth="1"/>
    <col min="7" max="7" width="5.85546875" style="6" customWidth="1"/>
    <col min="8" max="20" width="11.42578125" style="6" customWidth="1"/>
    <col min="21" max="16384" width="9.140625" style="6"/>
  </cols>
  <sheetData>
    <row r="5" spans="1:6" x14ac:dyDescent="0.25">
      <c r="B5" s="17" t="s">
        <v>52</v>
      </c>
      <c r="C5" s="18" t="s">
        <v>45</v>
      </c>
      <c r="D5" s="18" t="s">
        <v>47</v>
      </c>
      <c r="E5" s="18" t="s">
        <v>53</v>
      </c>
      <c r="F5" s="18"/>
    </row>
    <row r="6" spans="1:6" ht="14.25" customHeight="1" x14ac:dyDescent="0.25">
      <c r="A6" s="18"/>
      <c r="B6" s="19" t="s">
        <v>6</v>
      </c>
      <c r="C6" s="20">
        <f>Calculations!I22/1000</f>
        <v>320.44014000000004</v>
      </c>
      <c r="D6" s="20">
        <f>Calculations!J22/1000</f>
        <v>428.98680000000002</v>
      </c>
      <c r="E6" s="57">
        <f>(D6-C6)/C6</f>
        <v>0.33874239350912766</v>
      </c>
      <c r="F6" s="21"/>
    </row>
    <row r="7" spans="1:6" ht="14.25" customHeight="1" x14ac:dyDescent="0.25">
      <c r="B7" s="19" t="s">
        <v>7</v>
      </c>
      <c r="C7" s="20">
        <f>Calculations!I23/1000</f>
        <v>414.68723999999997</v>
      </c>
      <c r="D7" s="20">
        <f>Calculations!J23/1000</f>
        <v>350.98920000000004</v>
      </c>
      <c r="E7" s="57">
        <f t="shared" ref="E7:E12" si="0">(D7-C7)/C7</f>
        <v>-0.15360501567398105</v>
      </c>
      <c r="F7" s="21"/>
    </row>
    <row r="8" spans="1:6" ht="14.25" customHeight="1" x14ac:dyDescent="0.25">
      <c r="B8" s="19" t="s">
        <v>8</v>
      </c>
      <c r="C8" s="20">
        <f>Calculations!I24/1000</f>
        <v>376.98840000000001</v>
      </c>
      <c r="D8" s="20">
        <f>Calculations!J24/1000</f>
        <v>311.99040000000002</v>
      </c>
      <c r="E8" s="57">
        <f t="shared" si="0"/>
        <v>-0.17241379310344823</v>
      </c>
      <c r="F8" s="21"/>
    </row>
    <row r="9" spans="1:6" ht="14.25" customHeight="1" x14ac:dyDescent="0.25">
      <c r="B9" s="19" t="s">
        <v>9</v>
      </c>
      <c r="C9" s="20">
        <f>Calculations!I25/1000</f>
        <v>320.44014000000004</v>
      </c>
      <c r="D9" s="20">
        <f>Calculations!J25/1000</f>
        <v>428.98680000000002</v>
      </c>
      <c r="E9" s="57">
        <f t="shared" si="0"/>
        <v>0.33874239350912766</v>
      </c>
      <c r="F9" s="21"/>
    </row>
    <row r="10" spans="1:6" ht="14.25" customHeight="1" x14ac:dyDescent="0.25">
      <c r="B10" s="19" t="s">
        <v>10</v>
      </c>
      <c r="C10" s="20">
        <f>Calculations!I26/1000</f>
        <v>452.38607999999977</v>
      </c>
      <c r="D10" s="20">
        <f>Calculations!J26/1000</f>
        <v>428.9867999999999</v>
      </c>
      <c r="E10" s="57">
        <f t="shared" si="0"/>
        <v>-5.1724137931034204E-2</v>
      </c>
      <c r="F10" s="21"/>
    </row>
    <row r="11" spans="1:6" x14ac:dyDescent="0.25">
      <c r="F11" s="22"/>
    </row>
    <row r="12" spans="1:6" ht="14.25" customHeight="1" x14ac:dyDescent="0.25">
      <c r="B12" s="23" t="s">
        <v>54</v>
      </c>
      <c r="C12" s="20">
        <f>SUM(C6:C10)</f>
        <v>1884.942</v>
      </c>
      <c r="D12" s="20">
        <f>SUM(D6:D10)</f>
        <v>1949.9400000000003</v>
      </c>
      <c r="E12" s="57">
        <f t="shared" si="0"/>
        <v>3.44827586206898E-2</v>
      </c>
      <c r="F12" s="21"/>
    </row>
    <row r="13" spans="1:6" ht="9" customHeight="1" x14ac:dyDescent="0.25"/>
  </sheetData>
  <conditionalFormatting sqref="F6:F10">
    <cfRule type="iconSet" priority="3">
      <iconSet>
        <cfvo type="percent" val="0"/>
        <cfvo type="num" val="0"/>
        <cfvo type="num" val="0.02"/>
      </iconSet>
    </cfRule>
  </conditionalFormatting>
  <conditionalFormatting sqref="F12">
    <cfRule type="iconSet" priority="2">
      <iconSet>
        <cfvo type="percent" val="0"/>
        <cfvo type="num" val="0"/>
        <cfvo type="num" val="0.02"/>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7</xdr:col>
                    <xdr:colOff>561975</xdr:colOff>
                    <xdr:row>15</xdr:row>
                    <xdr:rowOff>38100</xdr:rowOff>
                  </from>
                  <to>
                    <xdr:col>8</xdr:col>
                    <xdr:colOff>542925</xdr:colOff>
                    <xdr:row>16</xdr:row>
                    <xdr:rowOff>57150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8</xdr:col>
                    <xdr:colOff>419100</xdr:colOff>
                    <xdr:row>15</xdr:row>
                    <xdr:rowOff>38100</xdr:rowOff>
                  </from>
                  <to>
                    <xdr:col>9</xdr:col>
                    <xdr:colOff>266700</xdr:colOff>
                    <xdr:row>16</xdr:row>
                    <xdr:rowOff>66675</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9</xdr:col>
                    <xdr:colOff>266700</xdr:colOff>
                    <xdr:row>15</xdr:row>
                    <xdr:rowOff>38100</xdr:rowOff>
                  </from>
                  <to>
                    <xdr:col>10</xdr:col>
                    <xdr:colOff>123825</xdr:colOff>
                    <xdr:row>16</xdr:row>
                    <xdr:rowOff>66675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1" id="{0DED70C2-E9D9-4EBA-B806-982DB5FC6820}">
            <x14:iconSet custom="1">
              <x14:cfvo type="percent">
                <xm:f>0</xm:f>
              </x14:cfvo>
              <x14:cfvo type="num">
                <xm:f>0</xm:f>
              </x14:cfvo>
              <x14:cfvo type="num" gte="0">
                <xm:f>0</xm:f>
              </x14:cfvo>
              <x14:cfIcon iconSet="3TrafficLights1" iconId="2"/>
              <x14:cfIcon iconSet="3TrafficLights1" iconId="1"/>
              <x14:cfIcon iconSet="3TrafficLights1" iconId="0"/>
            </x14:iconSet>
          </x14:cfRule>
          <xm:sqref>E6:E10 E12</xm:sqref>
        </x14:conditionalFormatting>
      </x14:conditionalFormatting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Nidhi Agarwal</cp:lastModifiedBy>
  <dcterms:created xsi:type="dcterms:W3CDTF">2022-11-11T07:23:47Z</dcterms:created>
  <dcterms:modified xsi:type="dcterms:W3CDTF">2026-01-13T15:28:54Z</dcterms:modified>
</cp:coreProperties>
</file>